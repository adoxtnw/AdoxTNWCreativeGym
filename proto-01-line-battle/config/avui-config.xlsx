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otions" sheetId="2" state="visible" r:id="rId2"/>
    <sheet xmlns:r="http://schemas.openxmlformats.org/officeDocument/2006/relationships" name="abilities" sheetId="3" state="visible" r:id="rId3"/>
    <sheet xmlns:r="http://schemas.openxmlformats.org/officeDocument/2006/relationships" name="matchups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layer_types" sheetId="6" state="visible" r:id="rId6"/>
    <sheet xmlns:r="http://schemas.openxmlformats.org/officeDocument/2006/relationships" name="status_effects" sheetId="7" state="visible" r:id="rId7"/>
    <sheet xmlns:r="http://schemas.openxmlformats.org/officeDocument/2006/relationships" name="synergies" sheetId="8" state="visible" r:id="rId8"/>
    <sheet xmlns:r="http://schemas.openxmlformats.org/officeDocument/2006/relationships" name="rules" sheetId="9" state="visible" r:id="rId9"/>
    <sheet xmlns:r="http://schemas.openxmlformats.org/officeDocument/2006/relationships" name="sounds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0ECE0"/>
      <sz val="16"/>
    </font>
    <font>
      <name val="Arial"/>
      <color rgb="00000000"/>
      <sz val="10"/>
    </font>
    <font>
      <name val="Arial"/>
      <b val="1"/>
      <color rgb="00000000"/>
      <sz val="12"/>
    </font>
    <font>
      <name val="Arial"/>
      <i val="1"/>
      <color rgb="00666666"/>
      <sz val="9"/>
    </font>
    <font>
      <name val="Arial"/>
      <b val="1"/>
      <color rgb="00F0ECE0"/>
      <sz val="10"/>
    </font>
    <font>
      <name val="Arial"/>
      <b val="1"/>
      <color rgb="00274E13"/>
      <sz val="8"/>
    </font>
    <font>
      <name val="Arial"/>
      <color rgb="007F6000"/>
      <sz val="8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1E26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/>
    </xf>
    <xf numFmtId="0" fontId="7" fillId="4" borderId="1" applyAlignment="1" pivotButton="0" quotePrefix="0" xfId="0">
      <alignment horizontal="left"/>
    </xf>
    <xf numFmtId="0" fontId="8" fillId="0" borderId="1" pivotButton="0" quotePrefix="0" xfId="0"/>
    <xf numFmtId="0" fontId="5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NEURO-METRO: AVUI — GAME CONFIG</t>
        </is>
      </c>
    </row>
    <row r="2">
      <c r="A2" s="2" t="inlineStr"/>
    </row>
    <row r="3">
      <c r="A3" s="2" t="inlineStr">
        <is>
          <t>This workbook is the source of truth for all game content. The prototype reads no</t>
        </is>
      </c>
    </row>
    <row r="4">
      <c r="A4" s="2" t="inlineStr">
        <is>
          <t>content values of its own — every number, ability, unit and rule comes from here.</t>
        </is>
      </c>
    </row>
    <row r="5">
      <c r="A5" s="2" t="inlineStr"/>
    </row>
    <row r="6">
      <c r="A6" s="3" t="inlineStr">
        <is>
          <t>HOW THE ROUND TRIP WORKS</t>
        </is>
      </c>
    </row>
    <row r="7">
      <c r="A7" s="2" t="inlineStr">
        <is>
          <t>1.  Edit any sheet in Google Sheets.</t>
        </is>
      </c>
    </row>
    <row r="8">
      <c r="A8" s="2" t="inlineStr">
        <is>
          <t>2.  File &gt; Download &gt; Comma-separated values, one CSV per sheet.</t>
        </is>
      </c>
    </row>
    <row r="9">
      <c r="A9" s="2" t="inlineStr">
        <is>
          <t>3.  Put the CSVs in a folder and run:  python3 tools/build_data.py &lt;folder&gt;</t>
        </is>
      </c>
    </row>
    <row r="10">
      <c r="A10" s="2" t="inlineStr">
        <is>
          <t>4.  That regenerates data.js. Reload the prototype. Nothing else to touch.</t>
        </is>
      </c>
    </row>
    <row r="11">
      <c r="A11" s="2" t="inlineStr"/>
    </row>
    <row r="12">
      <c r="A12" s="3" t="inlineStr">
        <is>
          <t>COLUMN STATUS — the row under each header</t>
        </is>
      </c>
    </row>
    <row r="13">
      <c r="A13" s="2" t="inlineStr">
        <is>
          <t>LIVE      (green)   the prototype reads this column today. Renaming it breaks the game.</t>
        </is>
      </c>
    </row>
    <row r="14">
      <c r="A14" s="2" t="inlineStr">
        <is>
          <t>planned   (yellow)  reserved for design you have not built yet. Inert until wired up;</t>
        </is>
      </c>
    </row>
    <row r="15">
      <c r="A15" s="2" t="inlineStr">
        <is>
          <t xml:space="preserve">                    safe to fill in early. Tell me when you want one activated.</t>
        </is>
      </c>
    </row>
    <row r="16">
      <c r="A16" s="2" t="inlineStr"/>
    </row>
    <row r="17">
      <c r="A17" s="3" t="inlineStr">
        <is>
          <t>CONVENTIONS</t>
        </is>
      </c>
    </row>
    <row r="18">
      <c r="A18" s="2" t="inlineStr">
        <is>
          <t>ids          UPPER_SNAKE. Referenced by other sheets, so renaming one means updating</t>
        </is>
      </c>
    </row>
    <row r="19">
      <c r="A19" s="2" t="inlineStr">
        <is>
          <t xml:space="preserve">             every sheet that points at it. The 'checks' sheet catches broken references.</t>
        </is>
      </c>
    </row>
    <row r="20">
      <c r="A20" s="2" t="inlineStr">
        <is>
          <t>lists        pipe-separated in a single cell:  ATK_ANGER|ATK_JOY|DEFEND</t>
        </is>
      </c>
    </row>
    <row r="21">
      <c r="A21" s="2" t="inlineStr">
        <is>
          <t>booleans     1 or 0  (TRUE/FALSE also accepted)</t>
        </is>
      </c>
    </row>
    <row r="22">
      <c r="A22" s="2" t="inlineStr">
        <is>
          <t>blank        means 'none' / 'typeless'. An ability with no emotion never matches a layer.</t>
        </is>
      </c>
    </row>
    <row r="23">
      <c r="A23" s="2" t="inlineStr">
        <is>
          <t>*            wildcard, in the matchups sheet only. Matches any emotion.</t>
        </is>
      </c>
    </row>
    <row r="24">
      <c r="A24" s="2" t="inlineStr">
        <is>
          <t>enabled      set to 0 to switch a row off without deleting it.</t>
        </is>
      </c>
    </row>
    <row r="25">
      <c r="A25" s="2" t="inlineStr"/>
    </row>
    <row r="26">
      <c r="A26" s="3" t="inlineStr">
        <is>
          <t>ADDING THINGS — no code needed</t>
        </is>
      </c>
    </row>
    <row r="27">
      <c r="A27" s="2" t="inlineStr">
        <is>
          <t>a new ability      add a row to 'abilities', then add its id to a unit's pool</t>
        </is>
      </c>
    </row>
    <row r="28">
      <c r="A28" s="2" t="inlineStr">
        <is>
          <t>a new enemy        add a row to 'units'</t>
        </is>
      </c>
    </row>
    <row r="29">
      <c r="A29" s="2" t="inlineStr">
        <is>
          <t>a new emotion      add a row to 'emotions' with a hex colour, then matchup rows for it</t>
        </is>
      </c>
    </row>
    <row r="30">
      <c r="A30" s="2" t="inlineStr">
        <is>
          <t>a new synergy      add a row to 'matchups' — this is the main lever for interactions</t>
        </is>
      </c>
    </row>
    <row r="31">
      <c r="A31" s="2" t="inlineStr">
        <is>
          <t>retune anything    'rules'</t>
        </is>
      </c>
    </row>
    <row r="32">
      <c r="A32" s="2" t="inlineStr"/>
    </row>
    <row r="33">
      <c r="A33" s="3" t="inlineStr">
        <is>
          <t>SHEETS</t>
        </is>
      </c>
    </row>
    <row r="34">
      <c r="A34" s="2" t="inlineStr">
        <is>
          <t>emotions         the six emotional types and their palette colours</t>
        </is>
      </c>
    </row>
    <row r="35">
      <c r="A35" s="2" t="inlineStr">
        <is>
          <t>abilities        everything a unit can do</t>
        </is>
      </c>
    </row>
    <row r="36">
      <c r="A36" s="2" t="inlineStr">
        <is>
          <t>matchups         attack emotion x layer emotion -&gt; damage and charge. Your synergy table.</t>
        </is>
      </c>
    </row>
    <row r="37">
      <c r="A37" s="2" t="inlineStr">
        <is>
          <t>units            player and enemies: stats, starting layers, ability pool</t>
        </is>
      </c>
    </row>
    <row r="38">
      <c r="A38" s="2" t="inlineStr">
        <is>
          <t>layer_types      per-layer properties. Reserved — layers are plain emotions today.</t>
        </is>
      </c>
    </row>
    <row r="39">
      <c r="A39" s="2" t="inlineStr">
        <is>
          <t>status_effects   buffs and debuffs. Reserved.</t>
        </is>
      </c>
    </row>
    <row r="40">
      <c r="A40" s="2" t="inlineStr">
        <is>
          <t>synergies        line-level combos (sequences, counts, positions). Reserved.</t>
        </is>
      </c>
    </row>
    <row r="41">
      <c r="A41" s="2" t="inlineStr">
        <is>
          <t>rules            global tunables</t>
        </is>
      </c>
    </row>
    <row r="42">
      <c r="A42" s="2" t="inlineStr">
        <is>
          <t>sounds           runtime-synthesised SFX. No audio files.</t>
        </is>
      </c>
    </row>
    <row r="43">
      <c r="A43" s="2" t="inlineStr">
        <is>
          <t>checks           live validation. Every row should read 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40" customWidth="1" min="6" max="6"/>
    <col width="12" customWidth="1" min="7" max="7"/>
    <col width="30" customWidth="1" min="8" max="8"/>
  </cols>
  <sheetData>
    <row r="1">
      <c r="A1" s="4" t="inlineStr">
        <is>
          <t>One row per emotional type. 'token' is the CSS palette variable name; 'hex' drives every colour in the UI for this emotion.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token</t>
        </is>
      </c>
      <c r="D3" s="5" t="inlineStr">
        <is>
          <t>hex</t>
        </is>
      </c>
      <c r="E3" s="5" t="inlineStr">
        <is>
          <t>short</t>
        </is>
      </c>
      <c r="F3" s="5" t="inlineStr">
        <is>
          <t>description</t>
        </is>
      </c>
      <c r="G3" s="5" t="inlineStr">
        <is>
          <t>enabled</t>
        </is>
      </c>
      <c r="H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</row>
    <row r="5">
      <c r="A5" s="8" t="inlineStr">
        <is>
          <t>ANGER</t>
        </is>
      </c>
      <c r="B5" s="8" t="inlineStr">
        <is>
          <t>Anger</t>
        </is>
      </c>
      <c r="C5" s="8" t="inlineStr">
        <is>
          <t>fury</t>
        </is>
      </c>
      <c r="D5" s="8" t="inlineStr">
        <is>
          <t>#ff4d3d</t>
        </is>
      </c>
      <c r="E5" s="8" t="inlineStr">
        <is>
          <t>ANG</t>
        </is>
      </c>
      <c r="F5" s="8" t="inlineStr">
        <is>
          <t>Hot, direct, aggressive.</t>
        </is>
      </c>
      <c r="G5" s="8" t="n">
        <v>1</v>
      </c>
      <c r="H5" s="8" t="inlineStr"/>
    </row>
    <row r="6">
      <c r="A6" s="8" t="inlineStr">
        <is>
          <t>SADNESS</t>
        </is>
      </c>
      <c r="B6" s="8" t="inlineStr">
        <is>
          <t>Sadness</t>
        </is>
      </c>
      <c r="C6" s="8" t="inlineStr">
        <is>
          <t>sorrow</t>
        </is>
      </c>
      <c r="D6" s="8" t="inlineStr">
        <is>
          <t>#4a86ff</t>
        </is>
      </c>
      <c r="E6" s="8" t="inlineStr">
        <is>
          <t>SAD</t>
        </is>
      </c>
      <c r="F6" s="8" t="inlineStr">
        <is>
          <t>Heavy, draining, persistent.</t>
        </is>
      </c>
      <c r="G6" s="8" t="n">
        <v>1</v>
      </c>
      <c r="H6" s="8" t="inlineStr"/>
    </row>
    <row r="7">
      <c r="A7" s="8" t="inlineStr">
        <is>
          <t>JOY</t>
        </is>
      </c>
      <c r="B7" s="8" t="inlineStr">
        <is>
          <t>Joy</t>
        </is>
      </c>
      <c r="C7" s="8" t="inlineStr">
        <is>
          <t>euphoria</t>
        </is>
      </c>
      <c r="D7" s="8" t="inlineStr">
        <is>
          <t>#ffc63d</t>
        </is>
      </c>
      <c r="E7" s="8" t="inlineStr">
        <is>
          <t>JOY</t>
        </is>
      </c>
      <c r="F7" s="8" t="inlineStr">
        <is>
          <t>Bright, volatile, energising.</t>
        </is>
      </c>
      <c r="G7" s="8" t="n">
        <v>1</v>
      </c>
      <c r="H7" s="8" t="inlineStr"/>
    </row>
    <row r="8">
      <c r="A8" s="8" t="inlineStr">
        <is>
          <t>APATHY</t>
        </is>
      </c>
      <c r="B8" s="8" t="inlineStr">
        <is>
          <t>Apathy</t>
        </is>
      </c>
      <c r="C8" s="8" t="inlineStr">
        <is>
          <t>apathy</t>
        </is>
      </c>
      <c r="D8" s="8" t="inlineStr">
        <is>
          <t>#8a7fa8</t>
        </is>
      </c>
      <c r="E8" s="8" t="inlineStr">
        <is>
          <t>APA</t>
        </is>
      </c>
      <c r="F8" s="8" t="inlineStr">
        <is>
          <t>Blunt, numbing, absorbing.</t>
        </is>
      </c>
      <c r="G8" s="8" t="n">
        <v>1</v>
      </c>
      <c r="H8" s="8" t="inlineStr"/>
    </row>
    <row r="9">
      <c r="A9" s="8" t="inlineStr">
        <is>
          <t>NOSTALGIA</t>
        </is>
      </c>
      <c r="B9" s="8" t="inlineStr">
        <is>
          <t>Nostalgia</t>
        </is>
      </c>
      <c r="C9" s="8" t="inlineStr">
        <is>
          <t>nostalgia</t>
        </is>
      </c>
      <c r="D9" s="8" t="inlineStr">
        <is>
          <t>#ff5fae</t>
        </is>
      </c>
      <c r="E9" s="8" t="inlineStr">
        <is>
          <t>NOS</t>
        </is>
      </c>
      <c r="F9" s="8" t="inlineStr">
        <is>
          <t>Warm, distracting, sticky.</t>
        </is>
      </c>
      <c r="G9" s="8" t="n">
        <v>1</v>
      </c>
      <c r="H9" s="8" t="inlineStr"/>
    </row>
    <row r="10">
      <c r="A10" s="8" t="inlineStr">
        <is>
          <t>CALM</t>
        </is>
      </c>
      <c r="B10" s="8" t="inlineStr">
        <is>
          <t>Calm</t>
        </is>
      </c>
      <c r="C10" s="8" t="inlineStr">
        <is>
          <t>stoic</t>
        </is>
      </c>
      <c r="D10" s="8" t="inlineStr">
        <is>
          <t>#35d6b0</t>
        </is>
      </c>
      <c r="E10" s="8" t="inlineStr">
        <is>
          <t>CAL</t>
        </is>
      </c>
      <c r="F10" s="8" t="inlineStr">
        <is>
          <t>Steady, defensive, restorative.</t>
        </is>
      </c>
      <c r="G10" s="8" t="n">
        <v>1</v>
      </c>
      <c r="H10" s="8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5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9" customWidth="1" min="13" max="13"/>
    <col width="20" customWidth="1" min="14" max="14"/>
    <col width="11" customWidth="1" min="15" max="15"/>
    <col width="16" customWidth="1" min="16" max="16"/>
    <col width="18" customWidth="1" min="17" max="17"/>
    <col width="17" customWidth="1" min="18" max="18"/>
    <col width="11" customWidth="1" min="19" max="19"/>
    <col width="13" customWidth="1" min="20" max="20"/>
    <col width="20" customWidth="1" min="21" max="21"/>
    <col width="16" customWidth="1" min="22" max="22"/>
    <col width="18" customWidth="1" min="23" max="23"/>
    <col width="20" customWidth="1" min="24" max="24"/>
    <col width="16" customWidth="1" min="25" max="25"/>
    <col width="18" customWidth="1" min="26" max="26"/>
    <col width="16" customWidth="1" min="27" max="27"/>
    <col width="16" customWidth="1" min="28" max="28"/>
    <col width="11" customWidth="1" min="29" max="29"/>
    <col width="11" customWidth="1" min="30" max="30"/>
    <col width="12" customWidth="1" min="31" max="31"/>
    <col width="19" customWidth="1" min="32" max="32"/>
    <col width="15" customWidth="1" min="33" max="33"/>
    <col width="34" customWidth="1" min="34" max="34"/>
  </cols>
  <sheetData>
    <row r="1">
      <c r="A1" s="4" t="inlineStr">
        <is>
          <t>One row per ability. kind: DAMAGE | SHIELD (add more kinds as you design them). power = damage for DAMAGE, shield charges for SHIELD. Leave 'emotion' blank for typeless — a typeless ability never matches a layer. 'suggested_cost' is a formula: a costing sanity check, not a rule.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emotion</t>
        </is>
      </c>
      <c r="D3" s="5" t="inlineStr">
        <is>
          <t>cost</t>
        </is>
      </c>
      <c r="E3" s="5" t="inlineStr">
        <is>
          <t>kind</t>
        </is>
      </c>
      <c r="F3" s="5" t="inlineStr">
        <is>
          <t>power</t>
        </is>
      </c>
      <c r="G3" s="5" t="inlineStr">
        <is>
          <t>hits_layer</t>
        </is>
      </c>
      <c r="H3" s="5" t="inlineStr">
        <is>
          <t>icon</t>
        </is>
      </c>
      <c r="I3" s="5" t="inlineStr">
        <is>
          <t>target</t>
        </is>
      </c>
      <c r="J3" s="5" t="inlineStr">
        <is>
          <t>reach</t>
        </is>
      </c>
      <c r="K3" s="5" t="inlineStr">
        <is>
          <t>self_ms</t>
        </is>
      </c>
      <c r="L3" s="5" t="inlineStr">
        <is>
          <t>self_ec</t>
        </is>
      </c>
      <c r="M3" s="5" t="inlineStr">
        <is>
          <t>ec_push_target</t>
        </is>
      </c>
      <c r="N3" s="5" t="inlineStr">
        <is>
          <t>ec_drain_target</t>
        </is>
      </c>
      <c r="O3" s="5" t="inlineStr">
        <is>
          <t>heal</t>
        </is>
      </c>
      <c r="P3" s="5" t="inlineStr">
        <is>
          <t>shield_gain</t>
        </is>
      </c>
      <c r="Q3" s="5" t="inlineStr">
        <is>
          <t>pierce_shield</t>
        </is>
      </c>
      <c r="R3" s="5" t="inlineStr">
        <is>
          <t>ignore_layer</t>
        </is>
      </c>
      <c r="S3" s="5" t="inlineStr">
        <is>
          <t>repeat</t>
        </is>
      </c>
      <c r="T3" s="5" t="inlineStr">
        <is>
          <t>cooldown</t>
        </is>
      </c>
      <c r="U3" s="5" t="inlineStr">
        <is>
          <t>uses_per_battle</t>
        </is>
      </c>
      <c r="V3" s="5" t="inlineStr">
        <is>
          <t>status_apply</t>
        </is>
      </c>
      <c r="W3" s="5" t="inlineStr">
        <is>
          <t>status_chance</t>
        </is>
      </c>
      <c r="X3" s="5" t="inlineStr">
        <is>
          <t>status_duration</t>
        </is>
      </c>
      <c r="Y3" s="5" t="inlineStr">
        <is>
          <t>combo_tag</t>
        </is>
      </c>
      <c r="Z3" s="5" t="inlineStr">
        <is>
          <t>requires_prev_tag</t>
        </is>
      </c>
      <c r="AA3" s="5" t="inlineStr">
        <is>
          <t>synergy_group</t>
        </is>
      </c>
      <c r="AB3" s="5" t="inlineStr">
        <is>
          <t>wild_target</t>
        </is>
      </c>
      <c r="AC3" s="5" t="inlineStr">
        <is>
          <t>rarity</t>
        </is>
      </c>
      <c r="AD3" s="5" t="inlineStr">
        <is>
          <t>unlock</t>
        </is>
      </c>
      <c r="AE3" s="5" t="inlineStr">
        <is>
          <t>enabled</t>
        </is>
      </c>
      <c r="AF3" s="5" t="inlineStr">
        <is>
          <t>suggested_cost</t>
        </is>
      </c>
      <c r="AG3" s="5" t="inlineStr">
        <is>
          <t>cost_delta</t>
        </is>
      </c>
      <c r="AH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  <c r="P4" s="7" t="inlineStr">
        <is>
          <t>planned</t>
        </is>
      </c>
      <c r="Q4" s="7" t="inlineStr">
        <is>
          <t>planned</t>
        </is>
      </c>
      <c r="R4" s="7" t="inlineStr">
        <is>
          <t>planned</t>
        </is>
      </c>
      <c r="S4" s="7" t="inlineStr">
        <is>
          <t>planned</t>
        </is>
      </c>
      <c r="T4" s="7" t="inlineStr">
        <is>
          <t>planned</t>
        </is>
      </c>
      <c r="U4" s="7" t="inlineStr">
        <is>
          <t>planned</t>
        </is>
      </c>
      <c r="V4" s="7" t="inlineStr">
        <is>
          <t>planned</t>
        </is>
      </c>
      <c r="W4" s="7" t="inlineStr">
        <is>
          <t>planned</t>
        </is>
      </c>
      <c r="X4" s="7" t="inlineStr">
        <is>
          <t>planned</t>
        </is>
      </c>
      <c r="Y4" s="7" t="inlineStr">
        <is>
          <t>planned</t>
        </is>
      </c>
      <c r="Z4" s="7" t="inlineStr">
        <is>
          <t>planned</t>
        </is>
      </c>
      <c r="AA4" s="7" t="inlineStr">
        <is>
          <t>planned</t>
        </is>
      </c>
      <c r="AB4" s="7" t="inlineStr">
        <is>
          <t>planned</t>
        </is>
      </c>
      <c r="AC4" s="7" t="inlineStr">
        <is>
          <t>planned</t>
        </is>
      </c>
      <c r="AD4" s="7" t="inlineStr">
        <is>
          <t>planned</t>
        </is>
      </c>
      <c r="AE4" s="7" t="inlineStr">
        <is>
          <t>planned</t>
        </is>
      </c>
      <c r="AF4" s="7" t="inlineStr">
        <is>
          <t>planned</t>
        </is>
      </c>
      <c r="AG4" s="7" t="inlineStr">
        <is>
          <t>planned</t>
        </is>
      </c>
      <c r="AH4" s="7" t="inlineStr">
        <is>
          <t>planned</t>
        </is>
      </c>
    </row>
    <row r="5">
      <c r="A5" s="8" t="inlineStr">
        <is>
          <t>ATK_ANGER</t>
        </is>
      </c>
      <c r="B5" s="8" t="inlineStr">
        <is>
          <t>Anger</t>
        </is>
      </c>
      <c r="C5" s="8" t="inlineStr">
        <is>
          <t>ANGER</t>
        </is>
      </c>
      <c r="D5" s="8" t="n">
        <v>20</v>
      </c>
      <c r="E5" s="8" t="inlineStr">
        <is>
          <t>DAMAGE</t>
        </is>
      </c>
      <c r="F5" s="8" t="n">
        <v>35</v>
      </c>
      <c r="G5" s="8" t="n">
        <v>1</v>
      </c>
      <c r="H5" s="8" t="inlineStr">
        <is>
          <t>BOLT</t>
        </is>
      </c>
      <c r="I5" s="8" t="inlineStr">
        <is>
          <t>ENEMY</t>
        </is>
      </c>
      <c r="J5" s="8" t="inlineStr">
        <is>
          <t>SINGLE</t>
        </is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1</v>
      </c>
      <c r="T5" s="8" t="n">
        <v>0</v>
      </c>
      <c r="U5" s="8" t="n">
        <v>0</v>
      </c>
      <c r="V5" s="8" t="inlineStr"/>
      <c r="W5" s="8" t="n">
        <v>0</v>
      </c>
      <c r="X5" s="8" t="n">
        <v>0</v>
      </c>
      <c r="Y5" s="8" t="inlineStr"/>
      <c r="Z5" s="8" t="inlineStr"/>
      <c r="AA5" s="8" t="inlineStr"/>
      <c r="AB5" s="8" t="inlineStr">
        <is>
          <t>LOWEST_MS</t>
        </is>
      </c>
      <c r="AC5" s="8" t="inlineStr">
        <is>
          <t>COMMON</t>
        </is>
      </c>
      <c r="AD5" s="8" t="inlineStr"/>
      <c r="AE5" s="8" t="n">
        <v>1</v>
      </c>
      <c r="AF5" s="8">
        <f>ROUND(F5*0.6 + M5*0.4 + O5*0.7 + P5*8 + ABS(K5)*0.3, 0)</f>
        <v/>
      </c>
      <c r="AG5" s="8">
        <f>IFERROR(D5-AF5,"")</f>
        <v/>
      </c>
      <c r="AH5" s="8" t="inlineStr"/>
    </row>
    <row r="6">
      <c r="A6" s="8" t="inlineStr">
        <is>
          <t>ATK_SADNESS</t>
        </is>
      </c>
      <c r="B6" s="8" t="inlineStr">
        <is>
          <t>Sadness</t>
        </is>
      </c>
      <c r="C6" s="8" t="inlineStr">
        <is>
          <t>SADNESS</t>
        </is>
      </c>
      <c r="D6" s="8" t="n">
        <v>20</v>
      </c>
      <c r="E6" s="8" t="inlineStr">
        <is>
          <t>DAMAGE</t>
        </is>
      </c>
      <c r="F6" s="8" t="n">
        <v>35</v>
      </c>
      <c r="G6" s="8" t="n">
        <v>1</v>
      </c>
      <c r="H6" s="8" t="inlineStr">
        <is>
          <t>DROP</t>
        </is>
      </c>
      <c r="I6" s="8" t="inlineStr">
        <is>
          <t>ENEMY</t>
        </is>
      </c>
      <c r="J6" s="8" t="inlineStr">
        <is>
          <t>SINGLE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1</v>
      </c>
      <c r="T6" s="8" t="n">
        <v>0</v>
      </c>
      <c r="U6" s="8" t="n">
        <v>0</v>
      </c>
      <c r="V6" s="8" t="inlineStr"/>
      <c r="W6" s="8" t="n">
        <v>0</v>
      </c>
      <c r="X6" s="8" t="n">
        <v>0</v>
      </c>
      <c r="Y6" s="8" t="inlineStr"/>
      <c r="Z6" s="8" t="inlineStr"/>
      <c r="AA6" s="8" t="inlineStr"/>
      <c r="AB6" s="8" t="inlineStr">
        <is>
          <t>LOWEST_MS</t>
        </is>
      </c>
      <c r="AC6" s="8" t="inlineStr">
        <is>
          <t>COMMON</t>
        </is>
      </c>
      <c r="AD6" s="8" t="inlineStr"/>
      <c r="AE6" s="8" t="n">
        <v>1</v>
      </c>
      <c r="AF6" s="8">
        <f>ROUND(F6*0.6 + M6*0.4 + O6*0.7 + P6*8 + ABS(K6)*0.3, 0)</f>
        <v/>
      </c>
      <c r="AG6" s="8">
        <f>IFERROR(D6-AF6,"")</f>
        <v/>
      </c>
      <c r="AH6" s="8" t="inlineStr"/>
    </row>
    <row r="7">
      <c r="A7" s="8" t="inlineStr">
        <is>
          <t>ATK_JOY</t>
        </is>
      </c>
      <c r="B7" s="8" t="inlineStr">
        <is>
          <t>Joy</t>
        </is>
      </c>
      <c r="C7" s="8" t="inlineStr">
        <is>
          <t>JOY</t>
        </is>
      </c>
      <c r="D7" s="8" t="n">
        <v>20</v>
      </c>
      <c r="E7" s="8" t="inlineStr">
        <is>
          <t>DAMAGE</t>
        </is>
      </c>
      <c r="F7" s="8" t="n">
        <v>35</v>
      </c>
      <c r="G7" s="8" t="n">
        <v>1</v>
      </c>
      <c r="H7" s="8" t="inlineStr">
        <is>
          <t>SPARK</t>
        </is>
      </c>
      <c r="I7" s="8" t="inlineStr">
        <is>
          <t>ENEMY</t>
        </is>
      </c>
      <c r="J7" s="8" t="inlineStr">
        <is>
          <t>SINGLE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1</v>
      </c>
      <c r="T7" s="8" t="n">
        <v>0</v>
      </c>
      <c r="U7" s="8" t="n">
        <v>0</v>
      </c>
      <c r="V7" s="8" t="inlineStr"/>
      <c r="W7" s="8" t="n">
        <v>0</v>
      </c>
      <c r="X7" s="8" t="n">
        <v>0</v>
      </c>
      <c r="Y7" s="8" t="inlineStr"/>
      <c r="Z7" s="8" t="inlineStr"/>
      <c r="AA7" s="8" t="inlineStr"/>
      <c r="AB7" s="8" t="inlineStr">
        <is>
          <t>LOWEST_MS</t>
        </is>
      </c>
      <c r="AC7" s="8" t="inlineStr">
        <is>
          <t>COMMON</t>
        </is>
      </c>
      <c r="AD7" s="8" t="inlineStr"/>
      <c r="AE7" s="8" t="n">
        <v>1</v>
      </c>
      <c r="AF7" s="8">
        <f>ROUND(F7*0.6 + M7*0.4 + O7*0.7 + P7*8 + ABS(K7)*0.3, 0)</f>
        <v/>
      </c>
      <c r="AG7" s="8">
        <f>IFERROR(D7-AF7,"")</f>
        <v/>
      </c>
      <c r="AH7" s="8" t="inlineStr"/>
    </row>
    <row r="8">
      <c r="A8" s="8" t="inlineStr">
        <is>
          <t>DEFEND</t>
        </is>
      </c>
      <c r="B8" s="8" t="inlineStr">
        <is>
          <t>Defend</t>
        </is>
      </c>
      <c r="C8" s="8" t="inlineStr"/>
      <c r="D8" s="8" t="n">
        <v>10</v>
      </c>
      <c r="E8" s="8" t="inlineStr">
        <is>
          <t>SHIELD</t>
        </is>
      </c>
      <c r="F8" s="8" t="n">
        <v>1</v>
      </c>
      <c r="G8" s="8" t="n">
        <v>0</v>
      </c>
      <c r="H8" s="8" t="inlineStr">
        <is>
          <t>SHIELD</t>
        </is>
      </c>
      <c r="I8" s="8" t="inlineStr">
        <is>
          <t>SELF</t>
        </is>
      </c>
      <c r="J8" s="8" t="inlineStr">
        <is>
          <t>SINGLE</t>
        </is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1</v>
      </c>
      <c r="Q8" s="8" t="n">
        <v>0</v>
      </c>
      <c r="R8" s="8" t="n">
        <v>0</v>
      </c>
      <c r="S8" s="8" t="n">
        <v>1</v>
      </c>
      <c r="T8" s="8" t="n">
        <v>0</v>
      </c>
      <c r="U8" s="8" t="n">
        <v>0</v>
      </c>
      <c r="V8" s="8" t="inlineStr"/>
      <c r="W8" s="8" t="n">
        <v>0</v>
      </c>
      <c r="X8" s="8" t="n">
        <v>0</v>
      </c>
      <c r="Y8" s="8" t="inlineStr"/>
      <c r="Z8" s="8" t="inlineStr"/>
      <c r="AA8" s="8" t="inlineStr"/>
      <c r="AB8" s="8" t="inlineStr">
        <is>
          <t>SELF</t>
        </is>
      </c>
      <c r="AC8" s="8" t="inlineStr">
        <is>
          <t>COMMON</t>
        </is>
      </c>
      <c r="AD8" s="8" t="inlineStr"/>
      <c r="AE8" s="8" t="n">
        <v>1</v>
      </c>
      <c r="AF8" s="8">
        <f>ROUND(F8*0.6 + M8*0.4 + O8*0.7 + P8*8 + ABS(K8)*0.3, 0)</f>
        <v/>
      </c>
      <c r="AG8" s="8">
        <f>IFERROR(D8-AF8,"")</f>
        <v/>
      </c>
      <c r="AH8" s="8" t="inlineStr"/>
    </row>
  </sheetData>
  <mergeCells count="1"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13" customWidth="1" min="4" max="4"/>
    <col width="12" customWidth="1" min="5" max="5"/>
    <col width="16" customWidth="1" min="6" max="6"/>
    <col width="14" customWidth="1" min="7" max="7"/>
    <col width="11" customWidth="1" min="8" max="8"/>
    <col width="18" customWidth="1" min="9" max="9"/>
    <col width="12" customWidth="1" min="10" max="10"/>
    <col width="17" customWidth="1" min="11" max="11"/>
    <col width="12" customWidth="1" min="12" max="12"/>
    <col width="52" customWidth="1" min="13" max="13"/>
  </cols>
  <sheetData>
    <row r="1">
      <c r="A1" s="4" t="inlineStr">
        <is>
          <t>THE SYNERGY TABLE — the main lever for designing interactions. One row per attack-emotion x layer-emotion pair. '*' is a wildcard; 'NONE' in layer_emotion means the target has no layers. When several rows match, the HIGHEST priority wins, so specific rows beat wildcards. Add a row like  JOY | SADNESS | 20 | 2.0 | 0 | CATHARSIS  and that pairing immediately behaves differently — no code change.</t>
        </is>
      </c>
    </row>
    <row r="3">
      <c r="A3" s="5" t="inlineStr">
        <is>
          <t>attack_emotion</t>
        </is>
      </c>
      <c r="B3" s="5" t="inlineStr">
        <is>
          <t>layer_emotion</t>
        </is>
      </c>
      <c r="C3" s="5" t="inlineStr">
        <is>
          <t>priority</t>
        </is>
      </c>
      <c r="D3" s="5" t="inlineStr">
        <is>
          <t>dmg_mult</t>
        </is>
      </c>
      <c r="E3" s="5" t="inlineStr">
        <is>
          <t>ec_mult</t>
        </is>
      </c>
      <c r="F3" s="5" t="inlineStr">
        <is>
          <t>label</t>
        </is>
      </c>
      <c r="G3" s="5" t="inlineStr">
        <is>
          <t>tag_class</t>
        </is>
      </c>
      <c r="H3" s="5" t="inlineStr">
        <is>
          <t>sound</t>
        </is>
      </c>
      <c r="I3" s="5" t="inlineStr">
        <is>
          <t>rotates_layer</t>
        </is>
      </c>
      <c r="J3" s="5" t="inlineStr">
        <is>
          <t>self_ec</t>
        </is>
      </c>
      <c r="K3" s="5" t="inlineStr">
        <is>
          <t>status_apply</t>
        </is>
      </c>
      <c r="L3" s="5" t="inlineStr">
        <is>
          <t>enabled</t>
        </is>
      </c>
      <c r="M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</row>
    <row r="5">
      <c r="A5" s="8" t="inlineStr">
        <is>
          <t>*</t>
        </is>
      </c>
      <c r="B5" s="8" t="inlineStr">
        <is>
          <t>*</t>
        </is>
      </c>
      <c r="C5" s="8" t="n">
        <v>0</v>
      </c>
      <c r="D5" s="8" t="n">
        <v>1</v>
      </c>
      <c r="E5" s="8" t="n">
        <v>0</v>
      </c>
      <c r="F5" s="8" t="inlineStr">
        <is>
          <t>OFF TYPE</t>
        </is>
      </c>
      <c r="G5" s="8" t="inlineStr">
        <is>
          <t>off</t>
        </is>
      </c>
      <c r="H5" s="8" t="inlineStr">
        <is>
          <t>hit</t>
        </is>
      </c>
      <c r="I5" s="8" t="inlineStr"/>
      <c r="J5" s="8" t="n">
        <v>0</v>
      </c>
      <c r="K5" s="8" t="inlineStr"/>
      <c r="L5" s="8" t="n">
        <v>1</v>
      </c>
      <c r="M5" s="8" t="inlineStr">
        <is>
          <t>Fallback. Every pair you do not name lands here.</t>
        </is>
      </c>
    </row>
    <row r="6">
      <c r="A6" s="8" t="inlineStr">
        <is>
          <t>*</t>
        </is>
      </c>
      <c r="B6" s="8" t="inlineStr">
        <is>
          <t>NONE</t>
        </is>
      </c>
      <c r="C6" s="8" t="n">
        <v>5</v>
      </c>
      <c r="D6" s="8" t="n">
        <v>1</v>
      </c>
      <c r="E6" s="8" t="n">
        <v>0</v>
      </c>
      <c r="F6" s="8" t="inlineStr">
        <is>
          <t>NO LAYER</t>
        </is>
      </c>
      <c r="G6" s="8" t="inlineStr">
        <is>
          <t>off</t>
        </is>
      </c>
      <c r="H6" s="8" t="inlineStr">
        <is>
          <t>hit</t>
        </is>
      </c>
      <c r="I6" s="8" t="inlineStr"/>
      <c r="J6" s="8" t="n">
        <v>0</v>
      </c>
      <c r="K6" s="8" t="inlineStr"/>
      <c r="L6" s="8" t="n">
        <v>1</v>
      </c>
      <c r="M6" s="8" t="inlineStr">
        <is>
          <t>Target has no layers left.</t>
        </is>
      </c>
    </row>
    <row r="7">
      <c r="A7" s="8" t="inlineStr">
        <is>
          <t>ANGER</t>
        </is>
      </c>
      <c r="B7" s="8" t="inlineStr">
        <is>
          <t>ANGER</t>
        </is>
      </c>
      <c r="C7" s="8" t="n">
        <v>10</v>
      </c>
      <c r="D7" s="8" t="n">
        <v>0.5</v>
      </c>
      <c r="E7" s="8" t="n">
        <v>1</v>
      </c>
      <c r="F7" s="8" t="inlineStr">
        <is>
          <t>ABSORBED!</t>
        </is>
      </c>
      <c r="G7" s="8" t="inlineStr">
        <is>
          <t>absorb</t>
        </is>
      </c>
      <c r="H7" s="8" t="inlineStr">
        <is>
          <t>absorb</t>
        </is>
      </c>
      <c r="I7" s="8" t="inlineStr"/>
      <c r="J7" s="8" t="n">
        <v>0</v>
      </c>
      <c r="K7" s="8" t="inlineStr"/>
      <c r="L7" s="8" t="n">
        <v>1</v>
      </c>
      <c r="M7" s="8" t="inlineStr">
        <is>
          <t>Same emotion: the layer drinks it.</t>
        </is>
      </c>
    </row>
    <row r="8">
      <c r="A8" s="8" t="inlineStr">
        <is>
          <t>SADNESS</t>
        </is>
      </c>
      <c r="B8" s="8" t="inlineStr">
        <is>
          <t>SADNESS</t>
        </is>
      </c>
      <c r="C8" s="8" t="n">
        <v>10</v>
      </c>
      <c r="D8" s="8" t="n">
        <v>0.5</v>
      </c>
      <c r="E8" s="8" t="n">
        <v>1</v>
      </c>
      <c r="F8" s="8" t="inlineStr">
        <is>
          <t>ABSORBED!</t>
        </is>
      </c>
      <c r="G8" s="8" t="inlineStr">
        <is>
          <t>absorb</t>
        </is>
      </c>
      <c r="H8" s="8" t="inlineStr">
        <is>
          <t>absorb</t>
        </is>
      </c>
      <c r="I8" s="8" t="inlineStr"/>
      <c r="J8" s="8" t="n">
        <v>0</v>
      </c>
      <c r="K8" s="8" t="inlineStr"/>
      <c r="L8" s="8" t="n">
        <v>1</v>
      </c>
      <c r="M8" s="8" t="inlineStr">
        <is>
          <t>Same emotion: the layer drinks it.</t>
        </is>
      </c>
    </row>
    <row r="9">
      <c r="A9" s="8" t="inlineStr">
        <is>
          <t>JOY</t>
        </is>
      </c>
      <c r="B9" s="8" t="inlineStr">
        <is>
          <t>JOY</t>
        </is>
      </c>
      <c r="C9" s="8" t="n">
        <v>10</v>
      </c>
      <c r="D9" s="8" t="n">
        <v>0.5</v>
      </c>
      <c r="E9" s="8" t="n">
        <v>1</v>
      </c>
      <c r="F9" s="8" t="inlineStr">
        <is>
          <t>ABSORBED!</t>
        </is>
      </c>
      <c r="G9" s="8" t="inlineStr">
        <is>
          <t>absorb</t>
        </is>
      </c>
      <c r="H9" s="8" t="inlineStr">
        <is>
          <t>absorb</t>
        </is>
      </c>
      <c r="I9" s="8" t="inlineStr"/>
      <c r="J9" s="8" t="n">
        <v>0</v>
      </c>
      <c r="K9" s="8" t="inlineStr"/>
      <c r="L9" s="8" t="n">
        <v>1</v>
      </c>
      <c r="M9" s="8" t="inlineStr">
        <is>
          <t>Same emotion: the layer drinks it.</t>
        </is>
      </c>
    </row>
    <row r="10">
      <c r="A10" s="8" t="inlineStr">
        <is>
          <t>APATHY</t>
        </is>
      </c>
      <c r="B10" s="8" t="inlineStr">
        <is>
          <t>APATHY</t>
        </is>
      </c>
      <c r="C10" s="8" t="n">
        <v>10</v>
      </c>
      <c r="D10" s="8" t="n">
        <v>0.5</v>
      </c>
      <c r="E10" s="8" t="n">
        <v>1</v>
      </c>
      <c r="F10" s="8" t="inlineStr">
        <is>
          <t>ABSORBED!</t>
        </is>
      </c>
      <c r="G10" s="8" t="inlineStr">
        <is>
          <t>absorb</t>
        </is>
      </c>
      <c r="H10" s="8" t="inlineStr">
        <is>
          <t>absorb</t>
        </is>
      </c>
      <c r="I10" s="8" t="inlineStr"/>
      <c r="J10" s="8" t="n">
        <v>0</v>
      </c>
      <c r="K10" s="8" t="inlineStr"/>
      <c r="L10" s="8" t="n">
        <v>1</v>
      </c>
      <c r="M10" s="8" t="inlineStr">
        <is>
          <t>Same emotion: the layer drinks it.</t>
        </is>
      </c>
    </row>
    <row r="11">
      <c r="A11" s="8" t="inlineStr">
        <is>
          <t>NOSTALGIA</t>
        </is>
      </c>
      <c r="B11" s="8" t="inlineStr">
        <is>
          <t>NOSTALGIA</t>
        </is>
      </c>
      <c r="C11" s="8" t="n">
        <v>10</v>
      </c>
      <c r="D11" s="8" t="n">
        <v>0.5</v>
      </c>
      <c r="E11" s="8" t="n">
        <v>1</v>
      </c>
      <c r="F11" s="8" t="inlineStr">
        <is>
          <t>ABSORBED!</t>
        </is>
      </c>
      <c r="G11" s="8" t="inlineStr">
        <is>
          <t>absorb</t>
        </is>
      </c>
      <c r="H11" s="8" t="inlineStr">
        <is>
          <t>absorb</t>
        </is>
      </c>
      <c r="I11" s="8" t="inlineStr"/>
      <c r="J11" s="8" t="n">
        <v>0</v>
      </c>
      <c r="K11" s="8" t="inlineStr"/>
      <c r="L11" s="8" t="n">
        <v>1</v>
      </c>
      <c r="M11" s="8" t="inlineStr">
        <is>
          <t>Same emotion: the layer drinks it.</t>
        </is>
      </c>
    </row>
    <row r="12">
      <c r="A12" s="8" t="inlineStr">
        <is>
          <t>CALM</t>
        </is>
      </c>
      <c r="B12" s="8" t="inlineStr">
        <is>
          <t>CALM</t>
        </is>
      </c>
      <c r="C12" s="8" t="n">
        <v>10</v>
      </c>
      <c r="D12" s="8" t="n">
        <v>0.5</v>
      </c>
      <c r="E12" s="8" t="n">
        <v>1</v>
      </c>
      <c r="F12" s="8" t="inlineStr">
        <is>
          <t>ABSORBED!</t>
        </is>
      </c>
      <c r="G12" s="8" t="inlineStr">
        <is>
          <t>absorb</t>
        </is>
      </c>
      <c r="H12" s="8" t="inlineStr">
        <is>
          <t>absorb</t>
        </is>
      </c>
      <c r="I12" s="8" t="inlineStr"/>
      <c r="J12" s="8" t="n">
        <v>0</v>
      </c>
      <c r="K12" s="8" t="inlineStr"/>
      <c r="L12" s="8" t="n">
        <v>1</v>
      </c>
      <c r="M12" s="8" t="inlineStr">
        <is>
          <t>Same emotion: the layer drinks it.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7" customWidth="1" min="5" max="5"/>
    <col width="26" customWidth="1" min="6" max="6"/>
    <col width="40" customWidth="1" min="7" max="7"/>
    <col width="15" customWidth="1" min="8" max="8"/>
    <col width="11" customWidth="1" min="9" max="9"/>
    <col width="17" customWidth="1" min="10" max="10"/>
    <col width="24" customWidth="1" min="11" max="11"/>
    <col width="11" customWidth="1" min="12" max="12"/>
    <col width="12" customWidth="1" min="13" max="13"/>
    <col width="42" customWidth="1" min="14" max="14"/>
  </cols>
  <sheetData>
    <row r="1">
      <c r="A1" s="4" t="inlineStr">
        <is>
          <t>One row per combatant. 'layers' is outermost-first and rotates as it takes hits. 'pool' is which abilities this unit may use. Add enemies by adding rows.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emotion</t>
        </is>
      </c>
      <c r="D3" s="5" t="inlineStr">
        <is>
          <t>max_ms</t>
        </is>
      </c>
      <c r="E3" s="5" t="inlineStr">
        <is>
          <t>start_ec_pct</t>
        </is>
      </c>
      <c r="F3" s="5" t="inlineStr">
        <is>
          <t>layers</t>
        </is>
      </c>
      <c r="G3" s="5" t="inlineStr">
        <is>
          <t>pool</t>
        </is>
      </c>
      <c r="H3" s="5" t="inlineStr">
        <is>
          <t>ai_profile</t>
        </is>
      </c>
      <c r="I3" s="5" t="inlineStr">
        <is>
          <t>init</t>
        </is>
      </c>
      <c r="J3" s="5" t="inlineStr">
        <is>
          <t>start_shield</t>
        </is>
      </c>
      <c r="K3" s="5" t="inlineStr">
        <is>
          <t>max_layers_override</t>
        </is>
      </c>
      <c r="L3" s="5" t="inlineStr">
        <is>
          <t>tags</t>
        </is>
      </c>
      <c r="M3" s="5" t="inlineStr">
        <is>
          <t>enabled</t>
        </is>
      </c>
      <c r="N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  <c r="N4" s="7" t="inlineStr">
        <is>
          <t>planned</t>
        </is>
      </c>
    </row>
    <row r="5">
      <c r="A5" s="8" t="inlineStr">
        <is>
          <t>player</t>
        </is>
      </c>
      <c r="B5" s="8" t="inlineStr">
        <is>
          <t>You</t>
        </is>
      </c>
      <c r="C5" s="8" t="inlineStr"/>
      <c r="D5" s="8" t="n">
        <v>400</v>
      </c>
      <c r="E5" s="8" t="n">
        <v>0.4</v>
      </c>
      <c r="F5" s="8" t="inlineStr">
        <is>
          <t>JOY|SADNESS</t>
        </is>
      </c>
      <c r="G5" s="8" t="inlineStr">
        <is>
          <t>ATK_ANGER|ATK_SADNESS|ATK_JOY|DEFEND</t>
        </is>
      </c>
      <c r="H5" s="8" t="inlineStr"/>
      <c r="I5" s="8" t="n">
        <v>10</v>
      </c>
      <c r="J5" s="8" t="n">
        <v>0</v>
      </c>
      <c r="K5" s="8" t="inlineStr"/>
      <c r="L5" s="8" t="inlineStr">
        <is>
          <t>PLAYER</t>
        </is>
      </c>
      <c r="M5" s="8" t="n">
        <v>1</v>
      </c>
      <c r="N5" s="8" t="inlineStr"/>
    </row>
    <row r="6">
      <c r="A6" s="8" t="inlineStr">
        <is>
          <t>enemy</t>
        </is>
      </c>
      <c r="B6" s="8" t="inlineStr">
        <is>
          <t>The Commuter</t>
        </is>
      </c>
      <c r="C6" s="8" t="inlineStr">
        <is>
          <t>ANGER</t>
        </is>
      </c>
      <c r="D6" s="8" t="n">
        <v>250</v>
      </c>
      <c r="E6" s="8" t="n">
        <v>0.4</v>
      </c>
      <c r="F6" s="8" t="inlineStr">
        <is>
          <t>ANGER|ANGER|SADNESS</t>
        </is>
      </c>
      <c r="G6" s="8" t="inlineStr">
        <is>
          <t>ATK_ANGER|ATK_SADNESS|ATK_JOY|DEFEND</t>
        </is>
      </c>
      <c r="H6" s="8" t="inlineStr">
        <is>
          <t>GREEDY_MAX_DAMAGE</t>
        </is>
      </c>
      <c r="I6" s="8" t="n">
        <v>8</v>
      </c>
      <c r="J6" s="8" t="n">
        <v>0</v>
      </c>
      <c r="K6" s="8" t="inlineStr"/>
      <c r="L6" s="8" t="inlineStr">
        <is>
          <t>ENEMY</t>
        </is>
      </c>
      <c r="M6" s="8" t="n">
        <v>1</v>
      </c>
      <c r="N6" s="8" t="inlineStr">
        <is>
          <t>AI reads the matchups sheet, so retuning it retunes the AI.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5" customWidth="1" min="4" max="4"/>
    <col width="20" customWidth="1" min="5" max="5"/>
    <col width="19" customWidth="1" min="6" max="6"/>
    <col width="20" customWidth="1" min="7" max="7"/>
    <col width="18" customWidth="1" min="8" max="8"/>
    <col width="20" customWidth="1" min="9" max="9"/>
    <col width="11" customWidth="1" min="10" max="10"/>
    <col width="12" customWidth="1" min="11" max="11"/>
    <col width="54" customWidth="1" min="12" max="12"/>
  </cols>
  <sheetData>
    <row r="1">
      <c r="A1" s="4" t="inlineStr">
        <is>
          <t>RESERVED. Layers are plain emotions today — units.layers holds emotion ids. This sheet exists for when a layer needs properties of its own (taking several hits to break, doing something when it breaks, or granting a passive while it is outermost).</t>
        </is>
      </c>
    </row>
    <row r="3">
      <c r="A3" s="5" t="inlineStr">
        <is>
          <t>id</t>
        </is>
      </c>
      <c r="B3" s="5" t="inlineStr">
        <is>
          <t>emotion</t>
        </is>
      </c>
      <c r="C3" s="5" t="inlineStr">
        <is>
          <t>display_name</t>
        </is>
      </c>
      <c r="D3" s="5" t="inlineStr">
        <is>
          <t>durability</t>
        </is>
      </c>
      <c r="E3" s="5" t="inlineStr">
        <is>
          <t>on_break_effect</t>
        </is>
      </c>
      <c r="F3" s="5" t="inlineStr">
        <is>
          <t>on_break_value</t>
        </is>
      </c>
      <c r="G3" s="5" t="inlineStr">
        <is>
          <t>passive_effect</t>
        </is>
      </c>
      <c r="H3" s="5" t="inlineStr">
        <is>
          <t>passive_value</t>
        </is>
      </c>
      <c r="I3" s="5" t="inlineStr">
        <is>
          <t>regrow_delay_ms</t>
        </is>
      </c>
      <c r="J3" s="5" t="inlineStr">
        <is>
          <t>tags</t>
        </is>
      </c>
      <c r="K3" s="5" t="inlineStr">
        <is>
          <t>enabled</t>
        </is>
      </c>
      <c r="L3" s="5" t="inlineStr">
        <is>
          <t>notes</t>
        </is>
      </c>
    </row>
    <row r="4">
      <c r="A4" s="7" t="inlineStr">
        <is>
          <t>planned</t>
        </is>
      </c>
      <c r="B4" s="7" t="inlineStr">
        <is>
          <t>planned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</row>
    <row r="5">
      <c r="A5" s="8" t="inlineStr">
        <is>
          <t>EXAMPLE_BRITTLE_ANGER</t>
        </is>
      </c>
      <c r="B5" s="8" t="inlineStr">
        <is>
          <t>ANGER</t>
        </is>
      </c>
      <c r="C5" s="8" t="inlineStr">
        <is>
          <t>Brittle Anger</t>
        </is>
      </c>
      <c r="D5" s="8" t="n">
        <v>1</v>
      </c>
      <c r="E5" s="8" t="inlineStr">
        <is>
          <t>EC_TO_OWNER</t>
        </is>
      </c>
      <c r="F5" s="8" t="n">
        <v>10</v>
      </c>
      <c r="G5" s="8" t="inlineStr">
        <is>
          <t>DMG_TAKEN_MULT</t>
        </is>
      </c>
      <c r="H5" s="8" t="n">
        <v>1.25</v>
      </c>
      <c r="I5" s="8" t="n">
        <v>380</v>
      </c>
      <c r="J5" s="8" t="inlineStr">
        <is>
          <t>EXAMPLE</t>
        </is>
      </c>
      <c r="K5" s="8" t="n">
        <v>0</v>
      </c>
      <c r="L5" s="8" t="inlineStr">
        <is>
          <t>EXAMPLE ROW — shows the intended format. enabled=0, so it is ignored.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9" customWidth="1" min="4" max="4"/>
    <col width="19" customWidth="1" min="5" max="5"/>
    <col width="17" customWidth="1" min="6" max="6"/>
    <col width="16" customWidth="1" min="7" max="7"/>
    <col width="16" customWidth="1" min="8" max="8"/>
    <col width="19" customWidth="1" min="9" max="9"/>
    <col width="13" customWidth="1" min="10" max="10"/>
    <col width="15" customWidth="1" min="11" max="11"/>
    <col width="11" customWidth="1" min="12" max="12"/>
    <col width="11" customWidth="1" min="13" max="13"/>
    <col width="12" customWidth="1" min="14" max="14"/>
    <col width="54" customWidth="1" min="15" max="15"/>
  </cols>
  <sheetData>
    <row r="1">
      <c r="A1" s="4" t="inlineStr">
        <is>
          <t>RESERVED. Buffs and debuffs. Reference an id from abilities.status_apply or matchups.status_apply.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duration</t>
        </is>
      </c>
      <c r="D3" s="5" t="inlineStr">
        <is>
          <t>dmg_taken_mult</t>
        </is>
      </c>
      <c r="E3" s="5" t="inlineStr">
        <is>
          <t>dmg_dealt_mult</t>
        </is>
      </c>
      <c r="F3" s="5" t="inlineStr">
        <is>
          <t>ec_gain_mult</t>
        </is>
      </c>
      <c r="G3" s="5" t="inlineStr">
        <is>
          <t>ms_per_turn</t>
        </is>
      </c>
      <c r="H3" s="5" t="inlineStr">
        <is>
          <t>ec_per_turn</t>
        </is>
      </c>
      <c r="I3" s="5" t="inlineStr">
        <is>
          <t>blocks_actions</t>
        </is>
      </c>
      <c r="J3" s="5" t="inlineStr">
        <is>
          <t>stacking</t>
        </is>
      </c>
      <c r="K3" s="5" t="inlineStr">
        <is>
          <t>max_stacks</t>
        </is>
      </c>
      <c r="L3" s="5" t="inlineStr">
        <is>
          <t>icon</t>
        </is>
      </c>
      <c r="M3" s="5" t="inlineStr">
        <is>
          <t>color</t>
        </is>
      </c>
      <c r="N3" s="5" t="inlineStr">
        <is>
          <t>enabled</t>
        </is>
      </c>
      <c r="O3" s="5" t="inlineStr">
        <is>
          <t>notes</t>
        </is>
      </c>
    </row>
    <row r="4">
      <c r="A4" s="7" t="inlineStr">
        <is>
          <t>planned</t>
        </is>
      </c>
      <c r="B4" s="7" t="inlineStr">
        <is>
          <t>planned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</row>
    <row r="5">
      <c r="A5" s="8" t="inlineStr">
        <is>
          <t>EXAMPLE_NUMB</t>
        </is>
      </c>
      <c r="B5" s="8" t="inlineStr">
        <is>
          <t>Numb</t>
        </is>
      </c>
      <c r="C5" s="8" t="n">
        <v>1</v>
      </c>
      <c r="D5" s="8" t="n">
        <v>1</v>
      </c>
      <c r="E5" s="8" t="n">
        <v>1</v>
      </c>
      <c r="F5" s="8" t="n">
        <v>0.5</v>
      </c>
      <c r="G5" s="8" t="n">
        <v>0</v>
      </c>
      <c r="H5" s="8" t="n">
        <v>0</v>
      </c>
      <c r="I5" s="8" t="n">
        <v>0</v>
      </c>
      <c r="J5" s="8" t="inlineStr">
        <is>
          <t>REFRESH</t>
        </is>
      </c>
      <c r="K5" s="8" t="n">
        <v>1</v>
      </c>
      <c r="L5" s="8" t="inlineStr">
        <is>
          <t>SHIELD</t>
        </is>
      </c>
      <c r="M5" s="8" t="inlineStr">
        <is>
          <t>#8a7fa8</t>
        </is>
      </c>
      <c r="N5" s="8" t="n">
        <v>0</v>
      </c>
      <c r="O5" s="8" t="inlineStr">
        <is>
          <t>EXAMPLE ROW — halves charge gained. enabled=0, so it is ignored.</t>
        </is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  <col width="11" customWidth="1" min="8" max="8"/>
    <col width="17" customWidth="1" min="9" max="9"/>
    <col width="15" customWidth="1" min="10" max="10"/>
    <col width="13" customWidth="1" min="11" max="11"/>
    <col width="12" customWidth="1" min="12" max="12"/>
    <col width="56" customWidth="1" min="13" max="13"/>
  </cols>
  <sheetData>
    <row r="1">
      <c r="A1" s="4" t="inlineStr">
        <is>
          <t>RESERVED. Line-level combos: things that depend on what else is in the line, or on what fired just before. trigger/subject/operator/value form the condition; effect/effect_value form the result. Tell me the ones you want and I will wire the vocabulary you use here.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trigger</t>
        </is>
      </c>
      <c r="D3" s="5" t="inlineStr">
        <is>
          <t>subject</t>
        </is>
      </c>
      <c r="E3" s="5" t="inlineStr">
        <is>
          <t>operator</t>
        </is>
      </c>
      <c r="F3" s="5" t="inlineStr">
        <is>
          <t>value</t>
        </is>
      </c>
      <c r="G3" s="5" t="inlineStr">
        <is>
          <t>window</t>
        </is>
      </c>
      <c r="H3" s="5" t="inlineStr">
        <is>
          <t>effect</t>
        </is>
      </c>
      <c r="I3" s="5" t="inlineStr">
        <is>
          <t>effect_value</t>
        </is>
      </c>
      <c r="J3" s="5" t="inlineStr">
        <is>
          <t>applies_to</t>
        </is>
      </c>
      <c r="K3" s="5" t="inlineStr">
        <is>
          <t>priority</t>
        </is>
      </c>
      <c r="L3" s="5" t="inlineStr">
        <is>
          <t>enabled</t>
        </is>
      </c>
      <c r="M3" s="5" t="inlineStr">
        <is>
          <t>notes</t>
        </is>
      </c>
    </row>
    <row r="4">
      <c r="A4" s="7" t="inlineStr">
        <is>
          <t>planned</t>
        </is>
      </c>
      <c r="B4" s="7" t="inlineStr">
        <is>
          <t>planned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</row>
    <row r="5">
      <c r="A5" s="8" t="inlineStr">
        <is>
          <t>EXAMPLE_TRIPLE</t>
        </is>
      </c>
      <c r="B5" s="8" t="inlineStr">
        <is>
          <t>Monochrome Line</t>
        </is>
      </c>
      <c r="C5" s="8" t="inlineStr">
        <is>
          <t>LINE_CONTAINS</t>
        </is>
      </c>
      <c r="D5" s="8" t="inlineStr">
        <is>
          <t>EMOTION_COUNT</t>
        </is>
      </c>
      <c r="E5" s="8" t="inlineStr">
        <is>
          <t>&gt;=</t>
        </is>
      </c>
      <c r="F5" s="8" t="n">
        <v>3</v>
      </c>
      <c r="G5" s="8" t="inlineStr">
        <is>
          <t>LINE</t>
        </is>
      </c>
      <c r="H5" s="8" t="inlineStr">
        <is>
          <t>DMG_MULT</t>
        </is>
      </c>
      <c r="I5" s="8" t="n">
        <v>1.5</v>
      </c>
      <c r="J5" s="8" t="inlineStr">
        <is>
          <t>ALL_STATIONS</t>
        </is>
      </c>
      <c r="K5" s="8" t="n">
        <v>10</v>
      </c>
      <c r="L5" s="8" t="n">
        <v>0</v>
      </c>
      <c r="M5" s="8" t="inlineStr">
        <is>
          <t>EXAMPLE ROW — three stations of one emotion in a line hit 50% harder. enabled=0.</t>
        </is>
      </c>
    </row>
    <row r="6">
      <c r="A6" s="8" t="inlineStr">
        <is>
          <t>EXAMPLE_CHAIN</t>
        </is>
      </c>
      <c r="B6" s="8" t="inlineStr">
        <is>
          <t>Grief After Rage</t>
        </is>
      </c>
      <c r="C6" s="8" t="inlineStr">
        <is>
          <t>PREV_STATION</t>
        </is>
      </c>
      <c r="D6" s="8" t="inlineStr">
        <is>
          <t>EMOTION</t>
        </is>
      </c>
      <c r="E6" s="8">
        <f>=</f>
        <v/>
      </c>
      <c r="F6" s="8" t="inlineStr">
        <is>
          <t>ANGER</t>
        </is>
      </c>
      <c r="G6" s="8" t="inlineStr">
        <is>
          <t>STATION</t>
        </is>
      </c>
      <c r="H6" s="8" t="inlineStr">
        <is>
          <t>EC_MULT</t>
        </is>
      </c>
      <c r="I6" s="8" t="n">
        <v>2</v>
      </c>
      <c r="J6" s="8" t="inlineStr">
        <is>
          <t>THIS_STATION</t>
        </is>
      </c>
      <c r="K6" s="8" t="n">
        <v>20</v>
      </c>
      <c r="L6" s="8" t="n">
        <v>0</v>
      </c>
      <c r="M6" s="8" t="inlineStr">
        <is>
          <t>EXAMPLE ROW — a station firing straight after an Anger station gives double charge. enabled=0.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8" customWidth="1" min="3" max="3"/>
  </cols>
  <sheetData>
    <row r="1">
      <c r="A1" s="4" t="inlineStr">
        <is>
          <t>Global tunables. Keys are read by name — renaming one breaks whatever reads it.</t>
        </is>
      </c>
    </row>
    <row r="3">
      <c r="A3" s="5" t="inlineStr">
        <is>
          <t>key</t>
        </is>
      </c>
      <c r="B3" s="5" t="inlineStr">
        <is>
          <t>value</t>
        </is>
      </c>
      <c r="C3" s="5" t="inlineStr">
        <is>
          <t>description</t>
        </is>
      </c>
    </row>
    <row r="4">
      <c r="A4" s="6" t="inlineStr">
        <is>
          <t>LIVE</t>
        </is>
      </c>
      <c r="B4" s="6" t="inlineStr">
        <is>
          <t>LIVE</t>
        </is>
      </c>
      <c r="C4" s="7" t="inlineStr">
        <is>
          <t>planned</t>
        </is>
      </c>
    </row>
    <row r="5">
      <c r="A5" s="8" t="inlineStr">
        <is>
          <t>lineCap</t>
        </is>
      </c>
      <c r="B5" s="8" t="n">
        <v>3</v>
      </c>
      <c r="C5" s="8" t="inlineStr">
        <is>
          <t>Stations per line.</t>
        </is>
      </c>
    </row>
    <row r="6">
      <c r="A6" s="8" t="inlineStr">
        <is>
          <t>maxLayers</t>
        </is>
      </c>
      <c r="B6" s="8" t="n">
        <v>6</v>
      </c>
      <c r="C6" s="8" t="inlineStr">
        <is>
          <t>Layer slots per unit.</t>
        </is>
      </c>
    </row>
    <row r="7">
      <c r="A7" s="8" t="inlineStr">
        <is>
          <t>restEc</t>
        </is>
      </c>
      <c r="B7" s="8" t="n">
        <v>15</v>
      </c>
      <c r="C7" s="8" t="inlineStr">
        <is>
          <t>Charge gained by departing with an empty line.</t>
        </is>
      </c>
    </row>
    <row r="8">
      <c r="A8" s="8" t="inlineStr">
        <is>
          <t>ecBasis</t>
        </is>
      </c>
      <c r="B8" s="8" t="inlineStr">
        <is>
          <t>POWER</t>
        </is>
      </c>
      <c r="C8" s="8" t="inlineStr">
        <is>
          <t>POWER = charge figured from the ability's base power. DEALT = from damage actually dealt.</t>
        </is>
      </c>
    </row>
    <row r="9">
      <c r="A9" s="8" t="inlineStr">
        <is>
          <t>noLayerDmgMult</t>
        </is>
      </c>
      <c r="B9" s="8" t="n">
        <v>1</v>
      </c>
      <c r="C9" s="8" t="inlineStr">
        <is>
          <t>Superseded by the matchups sheet; kept as a fallback.</t>
        </is>
      </c>
    </row>
    <row r="10">
      <c r="A10" s="8" t="inlineStr">
        <is>
          <t>noLayerEcMult</t>
        </is>
      </c>
      <c r="B10" s="8" t="n">
        <v>0</v>
      </c>
      <c r="C10" s="8" t="inlineStr">
        <is>
          <t>Superseded by the matchups sheet; kept as a fallback.</t>
        </is>
      </c>
    </row>
    <row r="11">
      <c r="A11" s="8" t="inlineStr">
        <is>
          <t>shieldRotatesLayer</t>
        </is>
      </c>
      <c r="B11" s="8" t="n">
        <v>0</v>
      </c>
      <c r="C11" s="8" t="inlineStr">
        <is>
          <t>Whether a blocked attack still rotates the layer queue.</t>
        </is>
      </c>
    </row>
    <row r="12">
      <c r="A12" s="8" t="inlineStr">
        <is>
          <t>lowMsWarnPct</t>
        </is>
      </c>
      <c r="B12" s="8" t="n">
        <v>0.18</v>
      </c>
      <c r="C12" s="8" t="inlineStr">
        <is>
          <t>Below this fraction of max MS the ceiling chevron pulses red.</t>
        </is>
      </c>
    </row>
    <row r="13">
      <c r="A13" s="8" t="inlineStr">
        <is>
          <t>clashSeconds</t>
        </is>
      </c>
      <c r="B13" s="8" t="n">
        <v>4</v>
      </c>
      <c r="C13" s="8" t="inlineStr">
        <is>
          <t>Length of the death sequence.</t>
        </is>
      </c>
    </row>
    <row r="14">
      <c r="A14" s="8" t="inlineStr">
        <is>
          <t>layerEase</t>
        </is>
      </c>
      <c r="B14" s="8" t="n">
        <v>0.16</v>
      </c>
      <c r="C14" s="8" t="inlineStr">
        <is>
          <t>How fast layers slide to their new slot. Higher = snappier.</t>
        </is>
      </c>
    </row>
    <row r="15">
      <c r="A15" s="8" t="inlineStr">
        <is>
          <t>layerWaveDelay</t>
        </is>
      </c>
      <c r="B15" s="8" t="n">
        <v>0.85</v>
      </c>
      <c r="C15" s="8" t="inlineStr">
        <is>
          <t>Phase offset per slot, so breathing travels outward in waves.</t>
        </is>
      </c>
    </row>
    <row r="16">
      <c r="A16" s="8" t="inlineStr">
        <is>
          <t>layerInnerShrink</t>
        </is>
      </c>
      <c r="B16" s="8" t="n">
        <v>0.85</v>
      </c>
      <c r="C16" s="8" t="inlineStr">
        <is>
          <t>Curve of the radius falloff toward the centre.</t>
        </is>
      </c>
    </row>
    <row r="17">
      <c r="A17" s="8" t="inlineStr">
        <is>
          <t>layerFill</t>
        </is>
      </c>
      <c r="B17" s="8" t="n">
        <v>0.42</v>
      </c>
      <c r="C17" s="8" t="inlineStr">
        <is>
          <t>Ring thickness as a fraction of the gap to the next slot.</t>
        </is>
      </c>
    </row>
    <row r="18">
      <c r="A18" s="8" t="inlineStr">
        <is>
          <t>layerOuterThick</t>
        </is>
      </c>
      <c r="B18" s="8" t="n">
        <v>2</v>
      </c>
      <c r="C18" s="8" t="inlineStr">
        <is>
          <t>Thickness multiplier for the outermost (active) layer.</t>
        </is>
      </c>
    </row>
    <row r="19">
      <c r="A19" s="8" t="inlineStr">
        <is>
          <t>layerInnerThick</t>
        </is>
      </c>
      <c r="B19" s="8" t="n">
        <v>0.9</v>
      </c>
      <c r="C19" s="8" t="inlineStr">
        <is>
          <t>Thickness multiplier for every layer behind it.</t>
        </is>
      </c>
    </row>
    <row r="20">
      <c r="A20" s="8" t="inlineStr">
        <is>
          <t>layerFlashMs</t>
        </is>
      </c>
      <c r="B20" s="8" t="n">
        <v>240</v>
      </c>
      <c r="C20" s="8" t="inlineStr">
        <is>
          <t>How long a struck layer flashes white before vanishing.</t>
        </is>
      </c>
    </row>
    <row r="21">
      <c r="A21" s="8" t="inlineStr">
        <is>
          <t>layerGapMs</t>
        </is>
      </c>
      <c r="B21" s="8" t="n">
        <v>260</v>
      </c>
      <c r="C21" s="8" t="inlineStr">
        <is>
          <t>Beat between the layer vanishing and it regrowing at the back.</t>
        </is>
      </c>
    </row>
    <row r="22">
      <c r="A22" s="8" t="inlineStr">
        <is>
          <t>layerRegrowMs</t>
        </is>
      </c>
      <c r="B22" s="8" t="n">
        <v>380</v>
      </c>
      <c r="C22" s="8" t="inlineStr">
        <is>
          <t>How long the regrow beat holds before resolution continues.</t>
        </is>
      </c>
    </row>
    <row r="23">
      <c r="A23" s="8" t="inlineStr">
        <is>
          <t>enemyRingBaseR</t>
        </is>
      </c>
      <c r="B23" s="8" t="n">
        <v>28</v>
      </c>
      <c r="C23" s="8" t="inlineStr">
        <is>
          <t>Enemy: radius of the outermost ring, in logical canvas pixels.</t>
        </is>
      </c>
    </row>
    <row r="24">
      <c r="A24" s="8" t="inlineStr">
        <is>
          <t>enemyRingSpacing</t>
        </is>
      </c>
      <c r="B24" s="8" t="n">
        <v>4.7</v>
      </c>
      <c r="C24" s="8" t="inlineStr">
        <is>
          <t>Enemy: radius step between one layer and the next in. baseR/spacing sets how many fit.</t>
        </is>
      </c>
    </row>
    <row r="25">
      <c r="A25" s="8" t="inlineStr">
        <is>
          <t>enemyRingBreathe</t>
        </is>
      </c>
      <c r="B25" s="8" t="n">
        <v>1.6</v>
      </c>
      <c r="C25" s="8" t="inlineStr">
        <is>
          <t>Enemy ring breathing amplitude.</t>
        </is>
      </c>
    </row>
    <row r="26">
      <c r="A26" s="8" t="inlineStr">
        <is>
          <t>playerRingBaseR</t>
        </is>
      </c>
      <c r="B26" s="8" t="n">
        <v>300</v>
      </c>
      <c r="C26" s="8" t="inlineStr">
        <is>
          <t>Player: radius of the outermost ring. Huge on purpose — a big circle reads as a nearly flat band.</t>
        </is>
      </c>
    </row>
    <row r="27">
      <c r="A27" s="8" t="inlineStr">
        <is>
          <t>playerRingSpacing</t>
        </is>
      </c>
      <c r="B27" s="8" t="n">
        <v>5</v>
      </c>
      <c r="C27" s="8" t="inlineStr">
        <is>
          <t>Player: radius step between layers. Small, so all six sit in a thin arc despite the huge radius.</t>
        </is>
      </c>
    </row>
    <row r="28">
      <c r="A28" s="8" t="inlineStr">
        <is>
          <t>playerRingBreathe</t>
        </is>
      </c>
      <c r="B28" s="8" t="n">
        <v>2.2</v>
      </c>
      <c r="C28" s="8" t="inlineStr">
        <is>
          <t>Player ring breathing amplitude.</t>
        </is>
      </c>
    </row>
    <row r="29">
      <c r="A29" s="8" t="inlineStr">
        <is>
          <t>playerCanvasW</t>
        </is>
      </c>
      <c r="B29" s="8" t="n">
        <v>120</v>
      </c>
      <c r="C29" s="8" t="inlineStr">
        <is>
          <t>Player ring canvas width in logical pixels (wide and short).</t>
        </is>
      </c>
    </row>
    <row r="30">
      <c r="A30" s="8" t="inlineStr">
        <is>
          <t>playerCanvasH</t>
        </is>
      </c>
      <c r="B30" s="8" t="n">
        <v>32</v>
      </c>
      <c r="C30" s="8" t="inlineStr">
        <is>
          <t>Player ring canvas height in logical pixels.</t>
        </is>
      </c>
    </row>
    <row r="31">
      <c r="A31" s="8" t="inlineStr">
        <is>
          <t>playerRingCy</t>
        </is>
      </c>
      <c r="B31" s="8" t="n">
        <v>300</v>
      </c>
      <c r="C31" s="8" t="inlineStr">
        <is>
          <t>Player: circle centre Y, pushed far below the strip so only the flat top of the arc shows.</t>
        </is>
      </c>
    </row>
    <row r="32">
      <c r="A32" s="8" t="inlineStr">
        <is>
          <t>crusherSteps</t>
        </is>
      </c>
      <c r="B32" s="8" t="n">
        <v>12</v>
      </c>
      <c r="C32" s="8" t="inlineStr">
        <is>
          <t>Audio bit-crusher quantisation. Low = Atari harsh, high = SNES-clean.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2" customWidth="1" min="8" max="8"/>
  </cols>
  <sheetData>
    <row r="1">
      <c r="A1" s="4" t="inlineStr">
        <is>
          <t>Every sound is synthesised at runtime — there are no audio files. wave: square | sawtooth | triangle | sine | noise. f0/f1 sweep in Hz over 'dur' ms. 'echo' is how much of the sound feeds the shared delay line. Everything runs through a bit-crusher, which is where the crunch comes from.</t>
        </is>
      </c>
    </row>
    <row r="3">
      <c r="A3" s="5" t="inlineStr">
        <is>
          <t>id</t>
        </is>
      </c>
      <c r="B3" s="5" t="inlineStr">
        <is>
          <t>wave</t>
        </is>
      </c>
      <c r="C3" s="5" t="inlineStr">
        <is>
          <t>f0</t>
        </is>
      </c>
      <c r="D3" s="5" t="inlineStr">
        <is>
          <t>f1</t>
        </is>
      </c>
      <c r="E3" s="5" t="inlineStr">
        <is>
          <t>dur</t>
        </is>
      </c>
      <c r="F3" s="5" t="inlineStr">
        <is>
          <t>gain</t>
        </is>
      </c>
      <c r="G3" s="5" t="inlineStr">
        <is>
          <t>echo</t>
        </is>
      </c>
      <c r="H3" s="5" t="inlineStr">
        <is>
          <t>description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</row>
    <row r="5">
      <c r="A5" s="8" t="inlineStr">
        <is>
          <t>tap</t>
        </is>
      </c>
      <c r="B5" s="8" t="inlineStr">
        <is>
          <t>square</t>
        </is>
      </c>
      <c r="C5" s="8" t="n">
        <v>440</v>
      </c>
      <c r="D5" s="8" t="n">
        <v>660</v>
      </c>
      <c r="E5" s="8" t="n">
        <v>55</v>
      </c>
      <c r="F5" s="8" t="n">
        <v>0.2</v>
      </c>
      <c r="G5" s="8" t="n">
        <v>0.22</v>
      </c>
      <c r="H5" s="8" t="inlineStr">
        <is>
          <t>Adding an ability to the line.</t>
        </is>
      </c>
    </row>
    <row r="6">
      <c r="A6" s="8" t="inlineStr">
        <is>
          <t>remove</t>
        </is>
      </c>
      <c r="B6" s="8" t="inlineStr">
        <is>
          <t>square</t>
        </is>
      </c>
      <c r="C6" s="8" t="n">
        <v>330</v>
      </c>
      <c r="D6" s="8" t="n">
        <v>160</v>
      </c>
      <c r="E6" s="8" t="n">
        <v>70</v>
      </c>
      <c r="F6" s="8" t="n">
        <v>0.16</v>
      </c>
      <c r="G6" s="8" t="n">
        <v>0.18</v>
      </c>
      <c r="H6" s="8" t="inlineStr">
        <is>
          <t>Removing a station.</t>
        </is>
      </c>
    </row>
    <row r="7">
      <c r="A7" s="8" t="inlineStr">
        <is>
          <t>depart</t>
        </is>
      </c>
      <c r="B7" s="8" t="inlineStr">
        <is>
          <t>sawtooth</t>
        </is>
      </c>
      <c r="C7" s="8" t="n">
        <v>240</v>
      </c>
      <c r="D7" s="8" t="n">
        <v>70</v>
      </c>
      <c r="E7" s="8" t="n">
        <v>420</v>
      </c>
      <c r="F7" s="8" t="n">
        <v>0.26</v>
      </c>
      <c r="G7" s="8" t="n">
        <v>0.45</v>
      </c>
      <c r="H7" s="8" t="inlineStr">
        <is>
          <t>The line departs and charge is spent.</t>
        </is>
      </c>
    </row>
    <row r="8">
      <c r="A8" s="8" t="inlineStr">
        <is>
          <t>travel</t>
        </is>
      </c>
      <c r="B8" s="8" t="inlineStr">
        <is>
          <t>square</t>
        </is>
      </c>
      <c r="C8" s="8" t="n">
        <v>150</v>
      </c>
      <c r="D8" s="8" t="n">
        <v>150</v>
      </c>
      <c r="E8" s="8" t="n">
        <v>38</v>
      </c>
      <c r="F8" s="8" t="n">
        <v>0.1</v>
      </c>
      <c r="G8" s="8" t="n">
        <v>0.15</v>
      </c>
      <c r="H8" s="8" t="inlineStr">
        <is>
          <t>Line scrolling to the next station.</t>
        </is>
      </c>
    </row>
    <row r="9">
      <c r="A9" s="8" t="inlineStr">
        <is>
          <t>arrive</t>
        </is>
      </c>
      <c r="B9" s="8" t="inlineStr">
        <is>
          <t>square</t>
        </is>
      </c>
      <c r="C9" s="8" t="n">
        <v>880</v>
      </c>
      <c r="D9" s="8" t="n">
        <v>880</v>
      </c>
      <c r="E9" s="8" t="n">
        <v>45</v>
      </c>
      <c r="F9" s="8" t="n">
        <v>0.14</v>
      </c>
      <c r="G9" s="8" t="n">
        <v>0.3</v>
      </c>
      <c r="H9" s="8" t="inlineStr">
        <is>
          <t>Station reaches the head and lights up.</t>
        </is>
      </c>
    </row>
    <row r="10">
      <c r="A10" s="8" t="inlineStr">
        <is>
          <t>hit</t>
        </is>
      </c>
      <c r="B10" s="8" t="inlineStr">
        <is>
          <t>noise</t>
        </is>
      </c>
      <c r="C10" s="8" t="n">
        <v>700</v>
      </c>
      <c r="D10" s="8" t="n">
        <v>700</v>
      </c>
      <c r="E10" s="8" t="n">
        <v>190</v>
      </c>
      <c r="F10" s="8" t="n">
        <v>0.34</v>
      </c>
      <c r="G10" s="8" t="n">
        <v>0.4</v>
      </c>
      <c r="H10" s="8" t="inlineStr">
        <is>
          <t>Off-type hit.</t>
        </is>
      </c>
    </row>
    <row r="11">
      <c r="A11" s="8" t="inlineStr">
        <is>
          <t>absorb</t>
        </is>
      </c>
      <c r="B11" s="8" t="inlineStr">
        <is>
          <t>square</t>
        </is>
      </c>
      <c r="C11" s="8" t="n">
        <v>300</v>
      </c>
      <c r="D11" s="8" t="n">
        <v>1200</v>
      </c>
      <c r="E11" s="8" t="n">
        <v>260</v>
      </c>
      <c r="F11" s="8" t="n">
        <v>0.24</v>
      </c>
      <c r="G11" s="8" t="n">
        <v>0.5</v>
      </c>
      <c r="H11" s="8" t="inlineStr">
        <is>
          <t>Same-type hit: the layer absorbs it.</t>
        </is>
      </c>
    </row>
    <row r="12">
      <c r="A12" s="8" t="inlineStr">
        <is>
          <t>block</t>
        </is>
      </c>
      <c r="B12" s="8" t="inlineStr">
        <is>
          <t>noise</t>
        </is>
      </c>
      <c r="C12" s="8" t="n">
        <v>1600</v>
      </c>
      <c r="D12" s="8" t="n">
        <v>1600</v>
      </c>
      <c r="E12" s="8" t="n">
        <v>90</v>
      </c>
      <c r="F12" s="8" t="n">
        <v>0.3</v>
      </c>
      <c r="G12" s="8" t="n">
        <v>0.35</v>
      </c>
      <c r="H12" s="8" t="inlineStr">
        <is>
          <t>Shield blocks, or shield goes up.</t>
        </is>
      </c>
    </row>
    <row r="13">
      <c r="A13" s="8" t="inlineStr">
        <is>
          <t>breaklayer</t>
        </is>
      </c>
      <c r="B13" s="8" t="inlineStr">
        <is>
          <t>sawtooth</t>
        </is>
      </c>
      <c r="C13" s="8" t="n">
        <v>760</v>
      </c>
      <c r="D13" s="8" t="n">
        <v>80</v>
      </c>
      <c r="E13" s="8" t="n">
        <v>340</v>
      </c>
      <c r="F13" s="8" t="n">
        <v>0.28</v>
      </c>
      <c r="G13" s="8" t="n">
        <v>0.55</v>
      </c>
      <c r="H13" s="8" t="inlineStr">
        <is>
          <t>A layer flashes and breaks.</t>
        </is>
      </c>
    </row>
    <row r="14">
      <c r="A14" s="8" t="inlineStr">
        <is>
          <t>regrow</t>
        </is>
      </c>
      <c r="B14" s="8" t="inlineStr">
        <is>
          <t>triangle</t>
        </is>
      </c>
      <c r="C14" s="8" t="n">
        <v>120</v>
      </c>
      <c r="D14" s="8" t="n">
        <v>520</v>
      </c>
      <c r="E14" s="8" t="n">
        <v>300</v>
      </c>
      <c r="F14" s="8" t="n">
        <v>0.16</v>
      </c>
      <c r="G14" s="8" t="n">
        <v>0.4</v>
      </c>
      <c r="H14" s="8" t="inlineStr">
        <is>
          <t>The broken layer regrows at the back.</t>
        </is>
      </c>
    </row>
    <row r="15">
      <c r="A15" s="8" t="inlineStr">
        <is>
          <t>clash</t>
        </is>
      </c>
      <c r="B15" s="8" t="inlineStr">
        <is>
          <t>noise</t>
        </is>
      </c>
      <c r="C15" s="8" t="n">
        <v>240</v>
      </c>
      <c r="D15" s="8" t="n">
        <v>240</v>
      </c>
      <c r="E15" s="8" t="n">
        <v>1500</v>
      </c>
      <c r="F15" s="8" t="n">
        <v>0.4</v>
      </c>
      <c r="G15" s="8" t="n">
        <v>0.65</v>
      </c>
      <c r="H15" s="8" t="inlineStr">
        <is>
          <t>Death: the chevrons meet.</t>
        </is>
      </c>
    </row>
    <row r="16">
      <c r="A16" s="8" t="inlineStr">
        <is>
          <t>win</t>
        </is>
      </c>
      <c r="B16" s="8" t="inlineStr">
        <is>
          <t>square</t>
        </is>
      </c>
      <c r="C16" s="8" t="n">
        <v>440</v>
      </c>
      <c r="D16" s="8" t="n">
        <v>1320</v>
      </c>
      <c r="E16" s="8" t="n">
        <v>620</v>
      </c>
      <c r="F16" s="8" t="n">
        <v>0.24</v>
      </c>
      <c r="G16" s="8" t="n">
        <v>0.55</v>
      </c>
      <c r="H16" s="8" t="inlineStr">
        <is>
          <t>Victory.</t>
        </is>
      </c>
    </row>
    <row r="17">
      <c r="A17" s="8" t="inlineStr">
        <is>
          <t>lose</t>
        </is>
      </c>
      <c r="B17" s="8" t="inlineStr">
        <is>
          <t>sawtooth</t>
        </is>
      </c>
      <c r="C17" s="8" t="n">
        <v>320</v>
      </c>
      <c r="D17" s="8" t="n">
        <v>50</v>
      </c>
      <c r="E17" s="8" t="n">
        <v>950</v>
      </c>
      <c r="F17" s="8" t="n">
        <v>0.28</v>
      </c>
      <c r="G17" s="8" t="n">
        <v>0.6</v>
      </c>
      <c r="H17" s="8" t="inlineStr">
        <is>
          <t>Defeat.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LIVE VALIDATION — every row should read OK. Anything else means a broken reference.</t>
        </is>
      </c>
    </row>
    <row r="3">
      <c r="A3" s="9" t="inlineStr">
        <is>
          <t>check</t>
        </is>
      </c>
      <c r="B3" s="9" t="inlineStr">
        <is>
          <t>expected</t>
        </is>
      </c>
      <c r="C3" s="9" t="inlineStr">
        <is>
          <t>actual</t>
        </is>
      </c>
      <c r="D3" s="9" t="inlineStr">
        <is>
          <t>status</t>
        </is>
      </c>
    </row>
    <row r="4">
      <c r="A4" s="8" t="inlineStr">
        <is>
          <t>Abilities with an emotion not in 'emotions'</t>
        </is>
      </c>
      <c r="B4" s="8" t="n">
        <v>0</v>
      </c>
      <c r="C4" s="8">
        <f>SUMPRODUCT((abilities!C5:C200&lt;&gt;"")*(COUNTIF(emotions!A5:A200,abilities!C5:C200)=0))</f>
        <v/>
      </c>
      <c r="D4" s="10">
        <f>IF(C4=B4,"OK","CHECK")</f>
        <v/>
      </c>
    </row>
    <row r="5">
      <c r="A5" s="8" t="inlineStr">
        <is>
          <t>Abilities missing an id</t>
        </is>
      </c>
      <c r="B5" s="8" t="n">
        <v>0</v>
      </c>
      <c r="C5" s="8">
        <f>SUMPRODUCT((abilities!B5:B200&lt;&gt;"")*(abilities!A5:A200=""))</f>
        <v/>
      </c>
      <c r="D5" s="10">
        <f>IF(C5=B5,"OK","CHECK")</f>
        <v/>
      </c>
    </row>
    <row r="6">
      <c r="A6" s="8" t="inlineStr">
        <is>
          <t>Units with a blank pool</t>
        </is>
      </c>
      <c r="B6" s="8" t="n">
        <v>0</v>
      </c>
      <c r="C6" s="8">
        <f>SUMPRODUCT((units!A5:A200&lt;&gt;"")*(units!G5:G200=""))</f>
        <v/>
      </c>
      <c r="D6" s="10">
        <f>IF(C6=B6,"OK","CHECK")</f>
        <v/>
      </c>
    </row>
    <row r="7">
      <c r="A7" s="8" t="inlineStr">
        <is>
          <t>Matchup rows with no label</t>
        </is>
      </c>
      <c r="B7" s="8" t="n">
        <v>0</v>
      </c>
      <c r="C7" s="8">
        <f>SUMPRODUCT((matchups!A5:A200&lt;&gt;"")*(matchups!F5:F200=""))</f>
        <v/>
      </c>
      <c r="D7" s="10">
        <f>IF(C7=B7,"OK","CHECK")</f>
        <v/>
      </c>
    </row>
    <row r="8">
      <c r="A8" s="8" t="inlineStr">
        <is>
          <t>Matchup attack emotions unknown (blank/*/NONE allowed)</t>
        </is>
      </c>
      <c r="B8" s="8" t="n">
        <v>0</v>
      </c>
      <c r="C8" s="8">
        <f>SUMPRODUCT((matchups!A5:A200&lt;&gt;"")*(matchups!A5:A200&lt;&gt;"*")*(matchups!A5:A200&lt;&gt;"NONE")*(COUNTIF(emotions!A5:A200,matchups!A5:A200)=0))</f>
        <v/>
      </c>
      <c r="D8" s="10">
        <f>IF(C8=B8,"OK","CHECK")</f>
        <v/>
      </c>
    </row>
    <row r="9">
      <c r="A9" s="8" t="inlineStr">
        <is>
          <t>Matchup layer emotions unknown (blank/*/NONE allowed)</t>
        </is>
      </c>
      <c r="B9" s="8" t="n">
        <v>0</v>
      </c>
      <c r="C9" s="8">
        <f>SUMPRODUCT((matchups!B5:B200&lt;&gt;"")*(matchups!B5:B200&lt;&gt;"*")*(matchups!B5:B200&lt;&gt;"NONE")*(COUNTIF(emotions!A5:A200,matchups!B5:B200)=0))</f>
        <v/>
      </c>
      <c r="D9" s="10">
        <f>IF(C9=B9,"OK","CHECK")</f>
        <v/>
      </c>
    </row>
    <row r="10">
      <c r="A10" s="8" t="inlineStr">
        <is>
          <t>Duplicate ability ids</t>
        </is>
      </c>
      <c r="B10" s="8" t="n">
        <v>0</v>
      </c>
      <c r="C10" s="8">
        <f>SUMPRODUCT((abilities!A5:A200&lt;&gt;"")*(COUNTIF(abilities!A5:A200,abilities!A5:A200&amp;"")&gt;1))</f>
        <v/>
      </c>
      <c r="D10" s="10">
        <f>IF(C10=B10,"OK","CHECK")</f>
        <v/>
      </c>
    </row>
    <row r="11">
      <c r="A11" s="8" t="inlineStr">
        <is>
          <t>Duplicate emotion ids</t>
        </is>
      </c>
      <c r="B11" s="8" t="n">
        <v>0</v>
      </c>
      <c r="C11" s="8">
        <f>SUMPRODUCT((emotions!A5:A200&lt;&gt;"")*(COUNTIF(emotions!A5:A200,emotions!A5:A200&amp;"")&gt;1))</f>
        <v/>
      </c>
      <c r="D11" s="10">
        <f>IF(C11=B11,"OK","CHECK")</f>
        <v/>
      </c>
    </row>
    <row r="12">
      <c r="A12" s="8" t="inlineStr">
        <is>
          <t>Enabled emotions</t>
        </is>
      </c>
      <c r="B12" s="8" t="n">
        <v>6</v>
      </c>
      <c r="C12" s="8">
        <f>SUMPRODUCT((emotions!A5:A200&lt;&gt;"")*(emotions!G5:G200=1))</f>
        <v/>
      </c>
      <c r="D12" s="10">
        <f>IF(C12=B12,"OK","CHECK")</f>
        <v/>
      </c>
    </row>
    <row r="13">
      <c r="A13" s="8" t="inlineStr">
        <is>
          <t>Enabled abilities</t>
        </is>
      </c>
      <c r="B13" s="8" t="n">
        <v>4</v>
      </c>
      <c r="C13" s="8">
        <f>SUMPRODUCT((abilities!A5:A200&lt;&gt;"")*(abilities!AE5:AE200=1))</f>
        <v/>
      </c>
      <c r="D13" s="10">
        <f>IF(C13=B13,"OK","CHECK")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2026-08-22T14:24:12Z</dcterms:created>
  <dcterms:modified xmlns:dcterms="http://purl.org/dc/terms/" xmlns:xsi="http://www.w3.org/2001/XMLSchema-instance" xsi:type="dcterms:W3CDTF">2026-08-22T14:24:12Z</dcterms:modified>
</cp:coreProperties>
</file>