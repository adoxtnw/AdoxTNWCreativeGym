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otions" sheetId="2" state="visible" r:id="rId2"/>
    <sheet xmlns:r="http://schemas.openxmlformats.org/officeDocument/2006/relationships" name="abilities" sheetId="3" state="visible" r:id="rId3"/>
    <sheet xmlns:r="http://schemas.openxmlformats.org/officeDocument/2006/relationships" name="loadouts" sheetId="4" state="visible" r:id="rId4"/>
    <sheet xmlns:r="http://schemas.openxmlformats.org/officeDocument/2006/relationships" name="matchups" sheetId="5" state="visible" r:id="rId5"/>
    <sheet xmlns:r="http://schemas.openxmlformats.org/officeDocument/2006/relationships" name="units" sheetId="6" state="visible" r:id="rId6"/>
    <sheet xmlns:r="http://schemas.openxmlformats.org/officeDocument/2006/relationships" name="dialogue" sheetId="7" state="visible" r:id="rId7"/>
    <sheet xmlns:r="http://schemas.openxmlformats.org/officeDocument/2006/relationships" name="prompts" sheetId="8" state="visible" r:id="rId8"/>
    <sheet xmlns:r="http://schemas.openxmlformats.org/officeDocument/2006/relationships" name="moments" sheetId="9" state="visible" r:id="rId9"/>
    <sheet xmlns:r="http://schemas.openxmlformats.org/officeDocument/2006/relationships" name="layer_types" sheetId="10" state="visible" r:id="rId10"/>
    <sheet xmlns:r="http://schemas.openxmlformats.org/officeDocument/2006/relationships" name="status_effects" sheetId="11" state="visible" r:id="rId11"/>
    <sheet xmlns:r="http://schemas.openxmlformats.org/officeDocument/2006/relationships" name="synergies" sheetId="12" state="visible" r:id="rId12"/>
    <sheet xmlns:r="http://schemas.openxmlformats.org/officeDocument/2006/relationships" name="rules" sheetId="13" state="visible" r:id="rId13"/>
    <sheet xmlns:r="http://schemas.openxmlformats.org/officeDocument/2006/relationships" name="sounds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0ECE0"/>
      <sz val="16"/>
    </font>
    <font>
      <name val="Arial"/>
      <color rgb="00000000"/>
      <sz val="10"/>
    </font>
    <font>
      <name val="Arial"/>
      <b val="1"/>
      <color rgb="00000000"/>
      <sz val="12"/>
    </font>
    <font>
      <name val="Arial"/>
      <i val="1"/>
      <color rgb="00666666"/>
      <sz val="9"/>
    </font>
    <font>
      <name val="Arial"/>
      <b val="1"/>
      <color rgb="00F0ECE0"/>
      <sz val="10"/>
    </font>
    <font>
      <name val="Arial"/>
      <b val="1"/>
      <color rgb="00274E13"/>
      <sz val="8"/>
    </font>
    <font>
      <name val="Arial"/>
      <color rgb="007F6000"/>
      <sz val="8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1E26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/>
    </xf>
    <xf numFmtId="0" fontId="7" fillId="4" borderId="1" applyAlignment="1" pivotButton="0" quotePrefix="0" xfId="0">
      <alignment horizontal="left"/>
    </xf>
    <xf numFmtId="0" fontId="8" fillId="0" borderId="1" pivotButton="0" quotePrefix="0" xfId="0"/>
    <xf numFmtId="0" fontId="5" fillId="2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NEURO-METRO: AVUI — GAME CONFIG</t>
        </is>
      </c>
    </row>
    <row r="2">
      <c r="A2" s="2" t="inlineStr"/>
    </row>
    <row r="3">
      <c r="A3" s="2" t="inlineStr">
        <is>
          <t>This workbook is the source of truth for all game content. The prototype reads no</t>
        </is>
      </c>
    </row>
    <row r="4">
      <c r="A4" s="2" t="inlineStr">
        <is>
          <t>content values of its own — every number, ability, unit and rule comes from here.</t>
        </is>
      </c>
    </row>
    <row r="5">
      <c r="A5" s="2" t="inlineStr"/>
    </row>
    <row r="6">
      <c r="A6" s="3" t="inlineStr">
        <is>
          <t>HOW THE ROUND TRIP WORKS</t>
        </is>
      </c>
    </row>
    <row r="7">
      <c r="A7" s="2" t="inlineStr">
        <is>
          <t>1.  Edit any sheet in Google Sheets.</t>
        </is>
      </c>
    </row>
    <row r="8">
      <c r="A8" s="2" t="inlineStr">
        <is>
          <t>2.  File &gt; Download &gt; Comma-separated values, one CSV per sheet.</t>
        </is>
      </c>
    </row>
    <row r="9">
      <c r="A9" s="2" t="inlineStr">
        <is>
          <t>3.  Put the CSVs in a folder and run:  python3 tools/build_data.py &lt;folder&gt;</t>
        </is>
      </c>
    </row>
    <row r="10">
      <c r="A10" s="2" t="inlineStr">
        <is>
          <t>4.  That regenerates data.js. Reload the prototype. Nothing else to touch.</t>
        </is>
      </c>
    </row>
    <row r="11">
      <c r="A11" s="2" t="inlineStr"/>
    </row>
    <row r="12">
      <c r="A12" s="3" t="inlineStr">
        <is>
          <t>COLUMN STATUS — the row under each header</t>
        </is>
      </c>
    </row>
    <row r="13">
      <c r="A13" s="2" t="inlineStr">
        <is>
          <t>LIVE      (green)   the prototype reads this column today. Renaming it breaks the game.</t>
        </is>
      </c>
    </row>
    <row r="14">
      <c r="A14" s="2" t="inlineStr">
        <is>
          <t>planned   (yellow)  reserved for design you have not built yet. Inert until wired up;</t>
        </is>
      </c>
    </row>
    <row r="15">
      <c r="A15" s="2" t="inlineStr">
        <is>
          <t xml:space="preserve">                    safe to fill in early. Tell me when you want one activated.</t>
        </is>
      </c>
    </row>
    <row r="16">
      <c r="A16" s="2" t="inlineStr"/>
    </row>
    <row r="17">
      <c r="A17" s="3" t="inlineStr">
        <is>
          <t>CONVENTIONS</t>
        </is>
      </c>
    </row>
    <row r="18">
      <c r="A18" s="2" t="inlineStr">
        <is>
          <t>ids          UPPER_SNAKE. Referenced by other sheets, so renaming one means updating</t>
        </is>
      </c>
    </row>
    <row r="19">
      <c r="A19" s="2" t="inlineStr">
        <is>
          <t xml:space="preserve">             every sheet that points at it. The 'checks' sheet catches broken references.</t>
        </is>
      </c>
    </row>
    <row r="20">
      <c r="A20" s="2" t="inlineStr">
        <is>
          <t>lists        pipe-separated in a single cell:  ATK_ANGER|ATK_JOY|DEFEND</t>
        </is>
      </c>
    </row>
    <row r="21">
      <c r="A21" s="2" t="inlineStr">
        <is>
          <t>booleans     1 or 0  (TRUE/FALSE also accepted)</t>
        </is>
      </c>
    </row>
    <row r="22">
      <c r="A22" s="2" t="inlineStr">
        <is>
          <t>blank        means 'none' / 'typeless'. An ability with no emotion never matches a layer.</t>
        </is>
      </c>
    </row>
    <row r="23">
      <c r="A23" s="2" t="inlineStr">
        <is>
          <t>*            wildcard, in the matchups sheet only. Matches any emotion.</t>
        </is>
      </c>
    </row>
    <row r="24">
      <c r="A24" s="2" t="inlineStr">
        <is>
          <t>enabled      set to 0 to switch a row off without deleting it.</t>
        </is>
      </c>
    </row>
    <row r="25">
      <c r="A25" s="2" t="inlineStr"/>
    </row>
    <row r="26">
      <c r="A26" s="3" t="inlineStr">
        <is>
          <t>ADDING THINGS — no code needed</t>
        </is>
      </c>
    </row>
    <row r="27">
      <c r="A27" s="2" t="inlineStr">
        <is>
          <t>a new ability      add a row to 'abilities', then add its id to a unit's pool</t>
        </is>
      </c>
    </row>
    <row r="28">
      <c r="A28" s="2" t="inlineStr">
        <is>
          <t>a new enemy        add a row to 'units'</t>
        </is>
      </c>
    </row>
    <row r="29">
      <c r="A29" s="2" t="inlineStr">
        <is>
          <t>a new emotion      add a row to 'emotions' with a hex colour, then matchup rows for it</t>
        </is>
      </c>
    </row>
    <row r="30">
      <c r="A30" s="2" t="inlineStr">
        <is>
          <t>a new synergy      add a row to 'matchups' — this is the main lever for interactions</t>
        </is>
      </c>
    </row>
    <row r="31">
      <c r="A31" s="2" t="inlineStr">
        <is>
          <t>retune anything    'rules'</t>
        </is>
      </c>
    </row>
    <row r="32">
      <c r="A32" s="2" t="inlineStr"/>
    </row>
    <row r="33">
      <c r="A33" s="3" t="inlineStr">
        <is>
          <t>SHEETS</t>
        </is>
      </c>
    </row>
    <row r="34">
      <c r="A34" s="2" t="inlineStr">
        <is>
          <t>emotions         the six emotional types and their palette colours</t>
        </is>
      </c>
    </row>
    <row r="35">
      <c r="A35" s="2" t="inlineStr">
        <is>
          <t>abilities        everything a unit can do</t>
        </is>
      </c>
    </row>
    <row r="36">
      <c r="A36" s="2" t="inlineStr">
        <is>
          <t>matchups         attack emotion x layer emotion -&gt; damage and charge. Your synergy table.</t>
        </is>
      </c>
    </row>
    <row r="37">
      <c r="A37" s="2" t="inlineStr">
        <is>
          <t>units            player and enemies: stats, starting layers, ability pool</t>
        </is>
      </c>
    </row>
    <row r="38">
      <c r="A38" s="2" t="inlineStr">
        <is>
          <t>layer_types      per-layer properties. Reserved — layers are plain emotions today.</t>
        </is>
      </c>
    </row>
    <row r="39">
      <c r="A39" s="2" t="inlineStr">
        <is>
          <t>status_effects   buffs and debuffs. Reserved.</t>
        </is>
      </c>
    </row>
    <row r="40">
      <c r="A40" s="2" t="inlineStr">
        <is>
          <t>synergies        line-level combos (sequences, counts, positions). Reserved.</t>
        </is>
      </c>
    </row>
    <row r="41">
      <c r="A41" s="2" t="inlineStr">
        <is>
          <t>dialogue         what each enemy says, per persona and battle state</t>
        </is>
      </c>
    </row>
    <row r="42">
      <c r="A42" s="2" t="inlineStr">
        <is>
          <t>rules            global tunables</t>
        </is>
      </c>
    </row>
    <row r="43">
      <c r="A43" s="2" t="inlineStr">
        <is>
          <t>sounds           runtime-synthesised SFX. No audio files.</t>
        </is>
      </c>
    </row>
    <row r="44">
      <c r="A44" s="2" t="inlineStr">
        <is>
          <t>checks           live validation. Every row should read 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0" customWidth="1" min="9" max="9"/>
    <col width="12" customWidth="1" min="10" max="10"/>
    <col width="30" customWidth="1" min="11" max="11"/>
  </cols>
  <sheetData>
    <row r="1">
      <c r="A1" s="4" t="inlineStr">
        <is>
          <t>One row per emotional type. 'token' is the CSS palette variable name; 'hex' drives every colour in the UI for this emotion; 'bg_hex' tints the battle backdrop when an enemy of this type is fought.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token</t>
        </is>
      </c>
      <c r="D3" s="5" t="inlineStr">
        <is>
          <t>hex</t>
        </is>
      </c>
      <c r="E3" s="5" t="inlineStr">
        <is>
          <t>bg_hex</t>
        </is>
      </c>
      <c r="F3" s="5" t="inlineStr">
        <is>
          <t>short</t>
        </is>
      </c>
      <c r="G3" s="5" t="inlineStr">
        <is>
          <t>icon</t>
        </is>
      </c>
      <c r="H3" s="5" t="inlineStr">
        <is>
          <t>sfx</t>
        </is>
      </c>
      <c r="I3" s="5" t="inlineStr">
        <is>
          <t>description</t>
        </is>
      </c>
      <c r="J3" s="5" t="inlineStr">
        <is>
          <t>enabled</t>
        </is>
      </c>
      <c r="K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7" t="inlineStr">
        <is>
          <t>planned</t>
        </is>
      </c>
      <c r="G4" s="6" t="inlineStr">
        <is>
          <t>LIVE</t>
        </is>
      </c>
      <c r="H4" s="6" t="inlineStr">
        <is>
          <t>LIVE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</row>
    <row r="5">
      <c r="A5" s="8" t="inlineStr">
        <is>
          <t>ANGER</t>
        </is>
      </c>
      <c r="B5" s="8" t="inlineStr">
        <is>
          <t>Anger</t>
        </is>
      </c>
      <c r="C5" s="8" t="inlineStr">
        <is>
          <t>anger</t>
        </is>
      </c>
      <c r="D5" s="8" t="inlineStr">
        <is>
          <t>#e53859</t>
        </is>
      </c>
      <c r="E5" s="8" t="inlineStr">
        <is>
          <t>#2a0810</t>
        </is>
      </c>
      <c r="F5" s="8" t="inlineStr">
        <is>
          <t>ANG</t>
        </is>
      </c>
      <c r="G5" s="8" t="inlineStr">
        <is>
          <t>BOLT</t>
        </is>
      </c>
      <c r="H5" s="8" t="inlineStr">
        <is>
          <t>hit_anger</t>
        </is>
      </c>
      <c r="I5" s="8" t="inlineStr">
        <is>
          <t>Hot, direct, aggressive.</t>
        </is>
      </c>
      <c r="J5" s="8" t="n">
        <v>1</v>
      </c>
      <c r="K5" s="8" t="inlineStr"/>
    </row>
    <row r="6">
      <c r="A6" s="8" t="inlineStr">
        <is>
          <t>SURPRISE</t>
        </is>
      </c>
      <c r="B6" s="8" t="inlineStr">
        <is>
          <t>Surprise</t>
        </is>
      </c>
      <c r="C6" s="8" t="inlineStr">
        <is>
          <t>surprise</t>
        </is>
      </c>
      <c r="D6" s="8" t="inlineStr">
        <is>
          <t>#724082</t>
        </is>
      </c>
      <c r="E6" s="8" t="inlineStr">
        <is>
          <t>#170a1b</t>
        </is>
      </c>
      <c r="F6" s="8" t="inlineStr">
        <is>
          <t>SUR</t>
        </is>
      </c>
      <c r="G6" s="8" t="inlineStr">
        <is>
          <t>BURST</t>
        </is>
      </c>
      <c r="H6" s="8" t="inlineStr">
        <is>
          <t>hit_surprise</t>
        </is>
      </c>
      <c r="I6" s="8" t="inlineStr">
        <is>
          <t>Sudden, disruptive, disorienting.</t>
        </is>
      </c>
      <c r="J6" s="8" t="n">
        <v>1</v>
      </c>
      <c r="K6" s="8" t="inlineStr"/>
    </row>
    <row r="7">
      <c r="A7" s="8" t="inlineStr">
        <is>
          <t>DISGUST</t>
        </is>
      </c>
      <c r="B7" s="8" t="inlineStr">
        <is>
          <t>Disgust</t>
        </is>
      </c>
      <c r="C7" s="8" t="inlineStr">
        <is>
          <t>disgust</t>
        </is>
      </c>
      <c r="D7" s="8" t="inlineStr">
        <is>
          <t>#56a36a</t>
        </is>
      </c>
      <c r="E7" s="8" t="inlineStr">
        <is>
          <t>#0c1f13</t>
        </is>
      </c>
      <c r="F7" s="8" t="inlineStr">
        <is>
          <t>DIS</t>
        </is>
      </c>
      <c r="G7" s="8" t="inlineStr">
        <is>
          <t>ROT</t>
        </is>
      </c>
      <c r="H7" s="8" t="inlineStr">
        <is>
          <t>hit_disgust</t>
        </is>
      </c>
      <c r="I7" s="8" t="inlineStr">
        <is>
          <t>Rejecting, corrosive, contemptuous.</t>
        </is>
      </c>
      <c r="J7" s="8" t="n">
        <v>1</v>
      </c>
      <c r="K7" s="8" t="inlineStr"/>
    </row>
    <row r="8">
      <c r="A8" s="8" t="inlineStr">
        <is>
          <t>JOY</t>
        </is>
      </c>
      <c r="B8" s="8" t="inlineStr">
        <is>
          <t>Joy</t>
        </is>
      </c>
      <c r="C8" s="8" t="inlineStr">
        <is>
          <t>joy</t>
        </is>
      </c>
      <c r="D8" s="8" t="inlineStr">
        <is>
          <t>#fcc336</t>
        </is>
      </c>
      <c r="E8" s="8" t="inlineStr">
        <is>
          <t>#2a1f06</t>
        </is>
      </c>
      <c r="F8" s="8" t="inlineStr">
        <is>
          <t>JOY</t>
        </is>
      </c>
      <c r="G8" s="8" t="inlineStr">
        <is>
          <t>SPARK</t>
        </is>
      </c>
      <c r="H8" s="8" t="inlineStr">
        <is>
          <t>hit_joy</t>
        </is>
      </c>
      <c r="I8" s="8" t="inlineStr">
        <is>
          <t>Bright, volatile, energising.</t>
        </is>
      </c>
      <c r="J8" s="8" t="n">
        <v>1</v>
      </c>
      <c r="K8" s="8" t="inlineStr"/>
    </row>
    <row r="9">
      <c r="A9" s="8" t="inlineStr">
        <is>
          <t>SADNESS</t>
        </is>
      </c>
      <c r="B9" s="8" t="inlineStr">
        <is>
          <t>Sadness</t>
        </is>
      </c>
      <c r="C9" s="8" t="inlineStr">
        <is>
          <t>sadness</t>
        </is>
      </c>
      <c r="D9" s="8" t="inlineStr">
        <is>
          <t>#3d66c1</t>
        </is>
      </c>
      <c r="E9" s="8" t="inlineStr">
        <is>
          <t>#0a1229</t>
        </is>
      </c>
      <c r="F9" s="8" t="inlineStr">
        <is>
          <t>SAD</t>
        </is>
      </c>
      <c r="G9" s="8" t="inlineStr">
        <is>
          <t>DROP</t>
        </is>
      </c>
      <c r="H9" s="8" t="inlineStr">
        <is>
          <t>hit_sadness</t>
        </is>
      </c>
      <c r="I9" s="8" t="inlineStr">
        <is>
          <t>Heavy, draining, persistent.</t>
        </is>
      </c>
      <c r="J9" s="8" t="n">
        <v>1</v>
      </c>
      <c r="K9" s="8" t="inlineStr"/>
    </row>
    <row r="10">
      <c r="A10" s="8" t="inlineStr">
        <is>
          <t>FEAR</t>
        </is>
      </c>
      <c r="B10" s="8" t="inlineStr">
        <is>
          <t>Fear</t>
        </is>
      </c>
      <c r="C10" s="8" t="inlineStr">
        <is>
          <t>fear</t>
        </is>
      </c>
      <c r="D10" s="8" t="inlineStr">
        <is>
          <t>#929fa5</t>
        </is>
      </c>
      <c r="E10" s="8" t="inlineStr">
        <is>
          <t>#1a1e20</t>
        </is>
      </c>
      <c r="F10" s="8" t="inlineStr">
        <is>
          <t>FEA</t>
        </is>
      </c>
      <c r="G10" s="8" t="inlineStr">
        <is>
          <t>EYE</t>
        </is>
      </c>
      <c r="H10" s="8" t="inlineStr">
        <is>
          <t>hit_fear</t>
        </is>
      </c>
      <c r="I10" s="8" t="inlineStr">
        <is>
          <t>Cold, freezing, evasive.</t>
        </is>
      </c>
      <c r="J10" s="8" t="n">
        <v>1</v>
      </c>
      <c r="K10" s="8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5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9" customWidth="1" min="14" max="14"/>
    <col width="20" customWidth="1" min="15" max="15"/>
    <col width="11" customWidth="1" min="16" max="16"/>
    <col width="16" customWidth="1" min="17" max="17"/>
    <col width="18" customWidth="1" min="18" max="18"/>
    <col width="17" customWidth="1" min="19" max="19"/>
    <col width="11" customWidth="1" min="20" max="20"/>
    <col width="13" customWidth="1" min="21" max="21"/>
    <col width="11" customWidth="1" min="22" max="22"/>
    <col width="11" customWidth="1" min="23" max="23"/>
    <col width="11" customWidth="1" min="24" max="24"/>
    <col width="13" customWidth="1" min="25" max="25"/>
    <col width="16" customWidth="1" min="26" max="26"/>
    <col width="16" customWidth="1" min="27" max="27"/>
    <col width="18" customWidth="1" min="28" max="28"/>
    <col width="20" customWidth="1" min="29" max="29"/>
    <col width="16" customWidth="1" min="30" max="30"/>
    <col width="18" customWidth="1" min="31" max="31"/>
    <col width="16" customWidth="1" min="32" max="32"/>
    <col width="16" customWidth="1" min="33" max="33"/>
    <col width="11" customWidth="1" min="34" max="34"/>
    <col width="11" customWidth="1" min="35" max="35"/>
    <col width="12" customWidth="1" min="36" max="36"/>
    <col width="19" customWidth="1" min="37" max="37"/>
    <col width="15" customWidth="1" min="38" max="38"/>
    <col width="34" customWidth="1" min="39" max="39"/>
  </cols>
  <sheetData>
    <row r="1">
      <c r="A1" s="4" t="inlineStr">
        <is>
          <t>One row per ability. kind: DAMAGE | SHIELD (add more kinds as you design them). power = damage for DAMAGE, shield charges for SHIELD. Leave 'emotion' blank for typeless — a typeless ability never matches a layer. 'suggested_cost' is a formula: a costing sanity check, not a rule.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emotion</t>
        </is>
      </c>
      <c r="D3" s="5" t="inlineStr">
        <is>
          <t>cost</t>
        </is>
      </c>
      <c r="E3" s="5" t="inlineStr">
        <is>
          <t>kind</t>
        </is>
      </c>
      <c r="F3" s="5" t="inlineStr">
        <is>
          <t>power</t>
        </is>
      </c>
      <c r="G3" s="5" t="inlineStr">
        <is>
          <t>charge</t>
        </is>
      </c>
      <c r="H3" s="5" t="inlineStr">
        <is>
          <t>hits_layer</t>
        </is>
      </c>
      <c r="I3" s="5" t="inlineStr">
        <is>
          <t>icon</t>
        </is>
      </c>
      <c r="J3" s="5" t="inlineStr">
        <is>
          <t>target</t>
        </is>
      </c>
      <c r="K3" s="5" t="inlineStr">
        <is>
          <t>reach</t>
        </is>
      </c>
      <c r="L3" s="5" t="inlineStr">
        <is>
          <t>self_ms</t>
        </is>
      </c>
      <c r="M3" s="5" t="inlineStr">
        <is>
          <t>self_ec</t>
        </is>
      </c>
      <c r="N3" s="5" t="inlineStr">
        <is>
          <t>ec_push_target</t>
        </is>
      </c>
      <c r="O3" s="5" t="inlineStr">
        <is>
          <t>ec_drain_target</t>
        </is>
      </c>
      <c r="P3" s="5" t="inlineStr">
        <is>
          <t>heal</t>
        </is>
      </c>
      <c r="Q3" s="5" t="inlineStr">
        <is>
          <t>shield_gain</t>
        </is>
      </c>
      <c r="R3" s="5" t="inlineStr">
        <is>
          <t>pierce_shield</t>
        </is>
      </c>
      <c r="S3" s="5" t="inlineStr">
        <is>
          <t>ignore_layer</t>
        </is>
      </c>
      <c r="T3" s="5" t="inlineStr">
        <is>
          <t>repeat</t>
        </is>
      </c>
      <c r="U3" s="5" t="inlineStr">
        <is>
          <t>cooldown</t>
        </is>
      </c>
      <c r="V3" s="5" t="inlineStr">
        <is>
          <t>uses</t>
        </is>
      </c>
      <c r="W3" s="5" t="inlineStr">
        <is>
          <t>blurb</t>
        </is>
      </c>
      <c r="X3" s="5" t="inlineStr">
        <is>
          <t>action</t>
        </is>
      </c>
      <c r="Y3" s="5" t="inlineStr">
        <is>
          <t>emotions</t>
        </is>
      </c>
      <c r="Z3" s="5" t="inlineStr">
        <is>
          <t>crit_chance</t>
        </is>
      </c>
      <c r="AA3" s="5" t="inlineStr">
        <is>
          <t>status_apply</t>
        </is>
      </c>
      <c r="AB3" s="5" t="inlineStr">
        <is>
          <t>status_chance</t>
        </is>
      </c>
      <c r="AC3" s="5" t="inlineStr">
        <is>
          <t>status_duration</t>
        </is>
      </c>
      <c r="AD3" s="5" t="inlineStr">
        <is>
          <t>combo_tag</t>
        </is>
      </c>
      <c r="AE3" s="5" t="inlineStr">
        <is>
          <t>requires_prev_tag</t>
        </is>
      </c>
      <c r="AF3" s="5" t="inlineStr">
        <is>
          <t>synergy_group</t>
        </is>
      </c>
      <c r="AG3" s="5" t="inlineStr">
        <is>
          <t>wild_target</t>
        </is>
      </c>
      <c r="AH3" s="5" t="inlineStr">
        <is>
          <t>rarity</t>
        </is>
      </c>
      <c r="AI3" s="5" t="inlineStr">
        <is>
          <t>unlock</t>
        </is>
      </c>
      <c r="AJ3" s="5" t="inlineStr">
        <is>
          <t>enabled</t>
        </is>
      </c>
      <c r="AK3" s="5" t="inlineStr">
        <is>
          <t>suggested_cost</t>
        </is>
      </c>
      <c r="AL3" s="5" t="inlineStr">
        <is>
          <t>cost_delta</t>
        </is>
      </c>
      <c r="AM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6" t="inlineStr">
        <is>
          <t>LIVE</t>
        </is>
      </c>
      <c r="I4" s="6" t="inlineStr">
        <is>
          <t>LIVE</t>
        </is>
      </c>
      <c r="J4" s="7" t="inlineStr">
        <is>
          <t>planned</t>
        </is>
      </c>
      <c r="K4" s="7" t="inlineStr">
        <is>
          <t>planned</t>
        </is>
      </c>
      <c r="L4" s="6" t="inlineStr">
        <is>
          <t>LIVE</t>
        </is>
      </c>
      <c r="M4" s="7" t="inlineStr">
        <is>
          <t>planned</t>
        </is>
      </c>
      <c r="N4" s="7" t="inlineStr">
        <is>
          <t>planned</t>
        </is>
      </c>
      <c r="O4" s="7" t="inlineStr">
        <is>
          <t>planned</t>
        </is>
      </c>
      <c r="P4" s="7" t="inlineStr">
        <is>
          <t>planned</t>
        </is>
      </c>
      <c r="Q4" s="7" t="inlineStr">
        <is>
          <t>planned</t>
        </is>
      </c>
      <c r="R4" s="7" t="inlineStr">
        <is>
          <t>planned</t>
        </is>
      </c>
      <c r="S4" s="7" t="inlineStr">
        <is>
          <t>planned</t>
        </is>
      </c>
      <c r="T4" s="7" t="inlineStr">
        <is>
          <t>planned</t>
        </is>
      </c>
      <c r="U4" s="6" t="inlineStr">
        <is>
          <t>LIVE</t>
        </is>
      </c>
      <c r="V4" s="6" t="inlineStr">
        <is>
          <t>LIVE</t>
        </is>
      </c>
      <c r="W4" s="6" t="inlineStr">
        <is>
          <t>LIVE</t>
        </is>
      </c>
      <c r="X4" s="6" t="inlineStr">
        <is>
          <t>LIVE</t>
        </is>
      </c>
      <c r="Y4" s="6" t="inlineStr">
        <is>
          <t>LIVE</t>
        </is>
      </c>
      <c r="Z4" s="6" t="inlineStr">
        <is>
          <t>LIVE</t>
        </is>
      </c>
      <c r="AA4" s="6" t="inlineStr">
        <is>
          <t>LIVE</t>
        </is>
      </c>
      <c r="AB4" s="7" t="inlineStr">
        <is>
          <t>planned</t>
        </is>
      </c>
      <c r="AC4" s="6" t="inlineStr">
        <is>
          <t>LIVE</t>
        </is>
      </c>
      <c r="AD4" s="7" t="inlineStr">
        <is>
          <t>planned</t>
        </is>
      </c>
      <c r="AE4" s="7" t="inlineStr">
        <is>
          <t>planned</t>
        </is>
      </c>
      <c r="AF4" s="7" t="inlineStr">
        <is>
          <t>planned</t>
        </is>
      </c>
      <c r="AG4" s="7" t="inlineStr">
        <is>
          <t>planned</t>
        </is>
      </c>
      <c r="AH4" s="7" t="inlineStr">
        <is>
          <t>planned</t>
        </is>
      </c>
      <c r="AI4" s="7" t="inlineStr">
        <is>
          <t>planned</t>
        </is>
      </c>
      <c r="AJ4" s="7" t="inlineStr">
        <is>
          <t>planned</t>
        </is>
      </c>
      <c r="AK4" s="7" t="inlineStr">
        <is>
          <t>planned</t>
        </is>
      </c>
      <c r="AL4" s="7" t="inlineStr">
        <is>
          <t>planned</t>
        </is>
      </c>
      <c r="AM4" s="7" t="inlineStr">
        <is>
          <t>planned</t>
        </is>
      </c>
    </row>
    <row r="5">
      <c r="A5" s="8" t="inlineStr">
        <is>
          <t>ATK_ANGER</t>
        </is>
      </c>
      <c r="B5" s="8" t="inlineStr">
        <is>
          <t>Heated Punch</t>
        </is>
      </c>
      <c r="C5" s="8" t="inlineStr">
        <is>
          <t>ANGER</t>
        </is>
      </c>
      <c r="D5" s="8" t="n">
        <v>20</v>
      </c>
      <c r="E5" s="8" t="inlineStr">
        <is>
          <t>DAMAGE</t>
        </is>
      </c>
      <c r="F5" s="8" t="n">
        <v>35</v>
      </c>
      <c r="G5" s="8" t="n">
        <v>0</v>
      </c>
      <c r="H5" s="8" t="n">
        <v>1</v>
      </c>
      <c r="I5" s="8" t="inlineStr">
        <is>
          <t>BOLT</t>
        </is>
      </c>
      <c r="J5" s="8" t="inlineStr">
        <is>
          <t>ENEMY</t>
        </is>
      </c>
      <c r="K5" s="8" t="inlineStr">
        <is>
          <t>SINGLE</t>
        </is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1</v>
      </c>
      <c r="U5" s="8" t="n">
        <v>1</v>
      </c>
      <c r="V5" s="8" t="n">
        <v>3</v>
      </c>
      <c r="W5" s="8" t="inlineStr">
        <is>
          <t>Attack. Cracks the outermost {LAYER}.</t>
        </is>
      </c>
      <c r="X5" s="8" t="n">
        <v>0</v>
      </c>
      <c r="Y5" s="8" t="inlineStr"/>
      <c r="Z5" s="8" t="inlineStr"/>
      <c r="AA5" s="8" t="inlineStr"/>
      <c r="AB5" s="8" t="n">
        <v>0</v>
      </c>
      <c r="AC5" s="8" t="n">
        <v>0</v>
      </c>
      <c r="AD5" s="8" t="inlineStr"/>
      <c r="AE5" s="8" t="inlineStr"/>
      <c r="AF5" s="8" t="inlineStr"/>
      <c r="AG5" s="8" t="inlineStr">
        <is>
          <t>LOWEST_MS</t>
        </is>
      </c>
      <c r="AH5" s="8" t="inlineStr">
        <is>
          <t>COMMON</t>
        </is>
      </c>
      <c r="AI5" s="8" t="inlineStr"/>
      <c r="AJ5" s="8" t="n">
        <v>1</v>
      </c>
      <c r="AK5" s="8">
        <f>ROUND(G5*0.6 + N5*0.4 + P5*0.7 + Q5*8 + ABS(L5)*0.3, 0)</f>
        <v/>
      </c>
      <c r="AL5" s="8">
        <f>IFERROR(D5-AG5,"")</f>
        <v/>
      </c>
      <c r="AM5" s="8" t="inlineStr"/>
    </row>
    <row r="6">
      <c r="A6" s="8" t="inlineStr">
        <is>
          <t>ATK_SADNESS</t>
        </is>
      </c>
      <c r="B6" s="8" t="inlineStr">
        <is>
          <t>Cold Shoulder</t>
        </is>
      </c>
      <c r="C6" s="8" t="inlineStr">
        <is>
          <t>SADNESS</t>
        </is>
      </c>
      <c r="D6" s="8" t="n">
        <v>20</v>
      </c>
      <c r="E6" s="8" t="inlineStr">
        <is>
          <t>DAMAGE</t>
        </is>
      </c>
      <c r="F6" s="8" t="n">
        <v>35</v>
      </c>
      <c r="G6" s="8" t="n">
        <v>0</v>
      </c>
      <c r="H6" s="8" t="n">
        <v>1</v>
      </c>
      <c r="I6" s="8" t="inlineStr">
        <is>
          <t>DROP</t>
        </is>
      </c>
      <c r="J6" s="8" t="inlineStr">
        <is>
          <t>ENEMY</t>
        </is>
      </c>
      <c r="K6" s="8" t="inlineStr">
        <is>
          <t>SINGLE</t>
        </is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1</v>
      </c>
      <c r="U6" s="8" t="n">
        <v>1</v>
      </c>
      <c r="V6" s="8" t="n">
        <v>3</v>
      </c>
      <c r="W6" s="8" t="inlineStr">
        <is>
          <t>Attack. Cracks the outermost {LAYER}.</t>
        </is>
      </c>
      <c r="X6" s="8" t="n">
        <v>0</v>
      </c>
      <c r="Y6" s="8" t="inlineStr"/>
      <c r="Z6" s="8" t="inlineStr"/>
      <c r="AA6" s="8" t="inlineStr"/>
      <c r="AB6" s="8" t="n">
        <v>0</v>
      </c>
      <c r="AC6" s="8" t="n">
        <v>0</v>
      </c>
      <c r="AD6" s="8" t="inlineStr"/>
      <c r="AE6" s="8" t="inlineStr"/>
      <c r="AF6" s="8" t="inlineStr"/>
      <c r="AG6" s="8" t="inlineStr">
        <is>
          <t>LOWEST_MS</t>
        </is>
      </c>
      <c r="AH6" s="8" t="inlineStr">
        <is>
          <t>COMMON</t>
        </is>
      </c>
      <c r="AI6" s="8" t="inlineStr"/>
      <c r="AJ6" s="8" t="n">
        <v>1</v>
      </c>
      <c r="AK6" s="8">
        <f>ROUND(G6*0.6 + N6*0.4 + P6*0.7 + Q6*8 + ABS(L6)*0.3, 0)</f>
        <v/>
      </c>
      <c r="AL6" s="8">
        <f>IFERROR(D6-AG6,"")</f>
        <v/>
      </c>
      <c r="AM6" s="8" t="inlineStr"/>
    </row>
    <row r="7">
      <c r="A7" s="8" t="inlineStr">
        <is>
          <t>ATK_JOY</t>
        </is>
      </c>
      <c r="B7" s="8" t="inlineStr">
        <is>
          <t>Manic Grin</t>
        </is>
      </c>
      <c r="C7" s="8" t="inlineStr">
        <is>
          <t>JOY</t>
        </is>
      </c>
      <c r="D7" s="8" t="n">
        <v>20</v>
      </c>
      <c r="E7" s="8" t="inlineStr">
        <is>
          <t>DAMAGE</t>
        </is>
      </c>
      <c r="F7" s="8" t="n">
        <v>35</v>
      </c>
      <c r="G7" s="8" t="n">
        <v>0</v>
      </c>
      <c r="H7" s="8" t="n">
        <v>1</v>
      </c>
      <c r="I7" s="8" t="inlineStr">
        <is>
          <t>SPARK</t>
        </is>
      </c>
      <c r="J7" s="8" t="inlineStr">
        <is>
          <t>ENEMY</t>
        </is>
      </c>
      <c r="K7" s="8" t="inlineStr">
        <is>
          <t>SINGLE</t>
        </is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1</v>
      </c>
      <c r="U7" s="8" t="n">
        <v>1</v>
      </c>
      <c r="V7" s="8" t="n">
        <v>3</v>
      </c>
      <c r="W7" s="8" t="inlineStr">
        <is>
          <t>Attack. Cracks the outermost {LAYER}.</t>
        </is>
      </c>
      <c r="X7" s="8" t="n">
        <v>0</v>
      </c>
      <c r="Y7" s="8" t="inlineStr"/>
      <c r="Z7" s="8" t="inlineStr"/>
      <c r="AA7" s="8" t="inlineStr"/>
      <c r="AB7" s="8" t="n">
        <v>0</v>
      </c>
      <c r="AC7" s="8" t="n">
        <v>0</v>
      </c>
      <c r="AD7" s="8" t="inlineStr"/>
      <c r="AE7" s="8" t="inlineStr"/>
      <c r="AF7" s="8" t="inlineStr"/>
      <c r="AG7" s="8" t="inlineStr">
        <is>
          <t>LOWEST_MS</t>
        </is>
      </c>
      <c r="AH7" s="8" t="inlineStr">
        <is>
          <t>COMMON</t>
        </is>
      </c>
      <c r="AI7" s="8" t="inlineStr"/>
      <c r="AJ7" s="8" t="n">
        <v>1</v>
      </c>
      <c r="AK7" s="8">
        <f>ROUND(G7*0.6 + N7*0.4 + P7*0.7 + Q7*8 + ABS(L7)*0.3, 0)</f>
        <v/>
      </c>
      <c r="AL7" s="8">
        <f>IFERROR(D7-AG7,"")</f>
        <v/>
      </c>
      <c r="AM7" s="8" t="inlineStr"/>
    </row>
    <row r="8">
      <c r="A8" s="8" t="inlineStr">
        <is>
          <t>DEFEND</t>
        </is>
      </c>
      <c r="B8" s="8" t="inlineStr">
        <is>
          <t>Block</t>
        </is>
      </c>
      <c r="C8" s="8" t="inlineStr"/>
      <c r="D8" s="8" t="n">
        <v>10</v>
      </c>
      <c r="E8" s="8" t="inlineStr">
        <is>
          <t>SHIELD</t>
        </is>
      </c>
      <c r="F8" s="8" t="n">
        <v>1</v>
      </c>
      <c r="G8" s="8" t="n">
        <v>0</v>
      </c>
      <c r="H8" s="8" t="n">
        <v>0</v>
      </c>
      <c r="I8" s="8" t="inlineStr">
        <is>
          <t>SHIELD</t>
        </is>
      </c>
      <c r="J8" s="8" t="inlineStr">
        <is>
          <t>SELF</t>
        </is>
      </c>
      <c r="K8" s="8" t="inlineStr">
        <is>
          <t>SINGLE</t>
        </is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1</v>
      </c>
      <c r="R8" s="8" t="n">
        <v>0</v>
      </c>
      <c r="S8" s="8" t="n">
        <v>0</v>
      </c>
      <c r="T8" s="8" t="n">
        <v>1</v>
      </c>
      <c r="U8" s="8" t="n">
        <v>1</v>
      </c>
      <c r="V8" s="8" t="n">
        <v>3</v>
      </c>
      <c r="W8" s="8" t="inlineStr">
        <is>
          <t>Defence. Blocks the next hit outright.</t>
        </is>
      </c>
      <c r="X8" s="8" t="n">
        <v>1</v>
      </c>
      <c r="Y8" s="8" t="inlineStr"/>
      <c r="Z8" s="8" t="inlineStr"/>
      <c r="AA8" s="8" t="inlineStr"/>
      <c r="AB8" s="8" t="n">
        <v>0</v>
      </c>
      <c r="AC8" s="8" t="n">
        <v>0</v>
      </c>
      <c r="AD8" s="8" t="inlineStr"/>
      <c r="AE8" s="8" t="inlineStr"/>
      <c r="AF8" s="8" t="inlineStr"/>
      <c r="AG8" s="8" t="inlineStr">
        <is>
          <t>SELF</t>
        </is>
      </c>
      <c r="AH8" s="8" t="inlineStr">
        <is>
          <t>COMMON</t>
        </is>
      </c>
      <c r="AI8" s="8" t="inlineStr"/>
      <c r="AJ8" s="8" t="n">
        <v>1</v>
      </c>
      <c r="AK8" s="8">
        <f>ROUND(G8*0.6 + N8*0.4 + P8*0.7 + Q8*8 + ABS(L8)*0.3, 0)</f>
        <v/>
      </c>
      <c r="AL8" s="8">
        <f>IFERROR(D8-AG8,"")</f>
        <v/>
      </c>
      <c r="AM8" s="8" t="inlineStr"/>
    </row>
    <row r="9">
      <c r="A9" s="8" t="inlineStr">
        <is>
          <t>HVY_ANGER</t>
        </is>
      </c>
      <c r="B9" s="8" t="inlineStr">
        <is>
          <t>Rage</t>
        </is>
      </c>
      <c r="C9" s="8" t="inlineStr">
        <is>
          <t>ANGER</t>
        </is>
      </c>
      <c r="D9" s="8" t="n">
        <v>45</v>
      </c>
      <c r="E9" s="8" t="inlineStr">
        <is>
          <t>DAMAGE</t>
        </is>
      </c>
      <c r="F9" s="8" t="n">
        <v>90</v>
      </c>
      <c r="G9" s="8" t="n">
        <v>2</v>
      </c>
      <c r="H9" s="8" t="n">
        <v>1</v>
      </c>
      <c r="I9" s="8" t="inlineStr">
        <is>
          <t>BOLT</t>
        </is>
      </c>
      <c r="J9" s="8" t="inlineStr">
        <is>
          <t>ENEMY</t>
        </is>
      </c>
      <c r="K9" s="8" t="inlineStr">
        <is>
          <t>SINGLE</t>
        </is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1</v>
      </c>
      <c r="U9" s="8" t="n">
        <v>1</v>
      </c>
      <c r="V9" s="8" t="n">
        <v>2</v>
      </c>
      <c r="W9" s="8" t="inlineStr">
        <is>
          <t>Attack. *Charges* first, then hits for triple.</t>
        </is>
      </c>
      <c r="X9" s="8" t="n">
        <v>0</v>
      </c>
      <c r="Y9" s="8" t="inlineStr"/>
      <c r="Z9" s="8" t="inlineStr"/>
      <c r="AA9" s="8" t="inlineStr"/>
      <c r="AB9" s="8" t="n">
        <v>0</v>
      </c>
      <c r="AC9" s="8" t="n">
        <v>0</v>
      </c>
      <c r="AD9" s="8" t="inlineStr"/>
      <c r="AE9" s="8" t="inlineStr"/>
      <c r="AF9" s="8" t="inlineStr"/>
      <c r="AG9" s="8" t="inlineStr">
        <is>
          <t>LOWEST_MS</t>
        </is>
      </c>
      <c r="AH9" s="8" t="inlineStr">
        <is>
          <t>COMMON</t>
        </is>
      </c>
      <c r="AI9" s="8" t="inlineStr"/>
      <c r="AJ9" s="8" t="n">
        <v>1</v>
      </c>
      <c r="AK9" s="8">
        <f>ROUND(G9*0.6 + N9*0.4 + P9*0.7 + Q9*8 + ABS(L9)*0.3, 0)</f>
        <v/>
      </c>
      <c r="AL9" s="8">
        <f>IFERROR(D9-AG9,"")</f>
        <v/>
      </c>
      <c r="AM9" s="8" t="inlineStr"/>
    </row>
    <row r="10">
      <c r="A10" s="8" t="inlineStr">
        <is>
          <t>HVY_SADNESS</t>
        </is>
      </c>
      <c r="B10" s="8" t="inlineStr">
        <is>
          <t>Grief</t>
        </is>
      </c>
      <c r="C10" s="8" t="inlineStr">
        <is>
          <t>SADNESS</t>
        </is>
      </c>
      <c r="D10" s="8" t="n">
        <v>45</v>
      </c>
      <c r="E10" s="8" t="inlineStr">
        <is>
          <t>DAMAGE</t>
        </is>
      </c>
      <c r="F10" s="8" t="n">
        <v>90</v>
      </c>
      <c r="G10" s="8" t="n">
        <v>2</v>
      </c>
      <c r="H10" s="8" t="n">
        <v>1</v>
      </c>
      <c r="I10" s="8" t="inlineStr">
        <is>
          <t>DROP</t>
        </is>
      </c>
      <c r="J10" s="8" t="inlineStr">
        <is>
          <t>ENEMY</t>
        </is>
      </c>
      <c r="K10" s="8" t="inlineStr">
        <is>
          <t>SINGLE</t>
        </is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1</v>
      </c>
      <c r="U10" s="8" t="n">
        <v>1</v>
      </c>
      <c r="V10" s="8" t="n">
        <v>2</v>
      </c>
      <c r="W10" s="8" t="inlineStr">
        <is>
          <t>Attack. *Charges* first, then hits for triple.</t>
        </is>
      </c>
      <c r="X10" s="8" t="n">
        <v>0</v>
      </c>
      <c r="Y10" s="8" t="inlineStr"/>
      <c r="Z10" s="8" t="inlineStr"/>
      <c r="AA10" s="8" t="inlineStr"/>
      <c r="AB10" s="8" t="n">
        <v>0</v>
      </c>
      <c r="AC10" s="8" t="n">
        <v>0</v>
      </c>
      <c r="AD10" s="8" t="inlineStr"/>
      <c r="AE10" s="8" t="inlineStr"/>
      <c r="AF10" s="8" t="inlineStr"/>
      <c r="AG10" s="8" t="inlineStr">
        <is>
          <t>LOWEST_MS</t>
        </is>
      </c>
      <c r="AH10" s="8" t="inlineStr">
        <is>
          <t>COMMON</t>
        </is>
      </c>
      <c r="AI10" s="8" t="inlineStr"/>
      <c r="AJ10" s="8" t="n">
        <v>1</v>
      </c>
      <c r="AK10" s="8">
        <f>ROUND(G10*0.6 + N10*0.4 + P10*0.7 + Q10*8 + ABS(L10)*0.3, 0)</f>
        <v/>
      </c>
      <c r="AL10" s="8">
        <f>IFERROR(D10-AG10,"")</f>
        <v/>
      </c>
      <c r="AM10" s="8" t="inlineStr"/>
    </row>
    <row r="11">
      <c r="A11" s="8" t="inlineStr">
        <is>
          <t>HVY_JOY</t>
        </is>
      </c>
      <c r="B11" s="8" t="inlineStr">
        <is>
          <t>Mania</t>
        </is>
      </c>
      <c r="C11" s="8" t="inlineStr">
        <is>
          <t>JOY</t>
        </is>
      </c>
      <c r="D11" s="8" t="n">
        <v>60</v>
      </c>
      <c r="E11" s="8" t="inlineStr">
        <is>
          <t>DAMAGE</t>
        </is>
      </c>
      <c r="F11" s="8" t="n">
        <v>130</v>
      </c>
      <c r="G11" s="8" t="n">
        <v>3</v>
      </c>
      <c r="H11" s="8" t="n">
        <v>1</v>
      </c>
      <c r="I11" s="8" t="inlineStr">
        <is>
          <t>SPARK</t>
        </is>
      </c>
      <c r="J11" s="8" t="inlineStr">
        <is>
          <t>ENEMY</t>
        </is>
      </c>
      <c r="K11" s="8" t="inlineStr">
        <is>
          <t>SINGLE</t>
        </is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1</v>
      </c>
      <c r="U11" s="8" t="n">
        <v>1</v>
      </c>
      <c r="V11" s="8" t="n">
        <v>2</v>
      </c>
      <c r="W11" s="8" t="inlineStr">
        <is>
          <t>Attack. The hardest hit there is, after a long *charge*.</t>
        </is>
      </c>
      <c r="X11" s="8" t="n">
        <v>0</v>
      </c>
      <c r="Y11" s="8" t="inlineStr"/>
      <c r="Z11" s="8" t="inlineStr"/>
      <c r="AA11" s="8" t="inlineStr"/>
      <c r="AB11" s="8" t="n">
        <v>0</v>
      </c>
      <c r="AC11" s="8" t="n">
        <v>0</v>
      </c>
      <c r="AD11" s="8" t="inlineStr"/>
      <c r="AE11" s="8" t="inlineStr"/>
      <c r="AF11" s="8" t="inlineStr"/>
      <c r="AG11" s="8" t="inlineStr">
        <is>
          <t>LOWEST_MS</t>
        </is>
      </c>
      <c r="AH11" s="8" t="inlineStr">
        <is>
          <t>COMMON</t>
        </is>
      </c>
      <c r="AI11" s="8" t="inlineStr"/>
      <c r="AJ11" s="8" t="n">
        <v>1</v>
      </c>
      <c r="AK11" s="8">
        <f>ROUND(G11*0.6 + N11*0.4 + P11*0.7 + Q11*8 + ABS(L11)*0.3, 0)</f>
        <v/>
      </c>
      <c r="AL11" s="8">
        <f>IFERROR(D11-AG11,"")</f>
        <v/>
      </c>
      <c r="AM11" s="8" t="inlineStr"/>
    </row>
    <row r="12">
      <c r="A12" s="8" t="inlineStr">
        <is>
          <t>RECHARGE</t>
        </is>
      </c>
      <c r="B12" s="8" t="inlineStr">
        <is>
          <t>Recharge</t>
        </is>
      </c>
      <c r="C12" s="8" t="inlineStr"/>
      <c r="D12" s="8" t="n">
        <v>0</v>
      </c>
      <c r="E12" s="8" t="inlineStr">
        <is>
          <t>CHARGE</t>
        </is>
      </c>
      <c r="F12" s="8" t="n">
        <v>20</v>
      </c>
      <c r="G12" s="8" t="n">
        <v>0</v>
      </c>
      <c r="H12" s="8" t="n">
        <v>0</v>
      </c>
      <c r="I12" s="8" t="inlineStr">
        <is>
          <t>CHARGE</t>
        </is>
      </c>
      <c r="J12" s="8" t="inlineStr">
        <is>
          <t>SELF</t>
        </is>
      </c>
      <c r="K12" s="8" t="inlineStr">
        <is>
          <t>SINGLE</t>
        </is>
      </c>
      <c r="L12" s="8" t="n">
        <v>5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1</v>
      </c>
      <c r="U12" s="8" t="n">
        <v>1</v>
      </c>
      <c r="V12" s="8" t="n">
        <v>3</v>
      </c>
      <c r="W12" s="8" t="inlineStr">
        <is>
          <t>Buff. Trades your own {MS} for {EC}.</t>
        </is>
      </c>
      <c r="X12" s="8" t="n">
        <v>1</v>
      </c>
      <c r="Y12" s="8" t="inlineStr"/>
      <c r="Z12" s="8" t="inlineStr"/>
      <c r="AA12" s="8" t="inlineStr"/>
      <c r="AB12" s="8" t="n">
        <v>0</v>
      </c>
      <c r="AC12" s="8" t="n">
        <v>0</v>
      </c>
      <c r="AD12" s="8" t="inlineStr"/>
      <c r="AE12" s="8" t="inlineStr"/>
      <c r="AF12" s="8" t="inlineStr"/>
      <c r="AG12" s="8" t="inlineStr">
        <is>
          <t>SELF</t>
        </is>
      </c>
      <c r="AH12" s="8" t="inlineStr">
        <is>
          <t>COMMON</t>
        </is>
      </c>
      <c r="AI12" s="8" t="inlineStr"/>
      <c r="AJ12" s="8" t="n">
        <v>1</v>
      </c>
      <c r="AK12" s="8">
        <f>ROUND(G12*0.6 + N12*0.4 + P12*0.7 + Q12*8 + ABS(L12)*0.3, 0)</f>
        <v/>
      </c>
      <c r="AL12" s="8">
        <f>IFERROR(D12-AG12,"")</f>
        <v/>
      </c>
      <c r="AM12" s="8" t="inlineStr">
        <is>
          <t>Gains 20 EC and costs 5 of your own MS — which also lowers your ceiling.</t>
        </is>
      </c>
    </row>
    <row r="13">
      <c r="A13" s="8" t="inlineStr">
        <is>
          <t>GEN_DISGUST</t>
        </is>
      </c>
      <c r="B13" s="8" t="inlineStr">
        <is>
          <t>Bile</t>
        </is>
      </c>
      <c r="C13" s="8" t="inlineStr">
        <is>
          <t>DISGUST</t>
        </is>
      </c>
      <c r="D13" s="8" t="n">
        <v>15</v>
      </c>
      <c r="E13" s="8" t="inlineStr">
        <is>
          <t>ADDLAYER</t>
        </is>
      </c>
      <c r="F13" s="8" t="n">
        <v>1</v>
      </c>
      <c r="G13" s="8" t="n">
        <v>0</v>
      </c>
      <c r="H13" s="8" t="n">
        <v>0</v>
      </c>
      <c r="I13" s="8" t="inlineStr">
        <is>
          <t>ROT</t>
        </is>
      </c>
      <c r="J13" s="8" t="inlineStr">
        <is>
          <t>SELF</t>
        </is>
      </c>
      <c r="K13" s="8" t="inlineStr">
        <is>
          <t>SINGLE</t>
        </is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1</v>
      </c>
      <c r="U13" s="8" t="n">
        <v>1</v>
      </c>
      <c r="V13" s="8" t="n">
        <v>2</v>
      </c>
      <c r="W13" s="8" t="inlineStr">
        <is>
          <t>Defence. Grows a {LAYER} that *never regrows* once broken.</t>
        </is>
      </c>
      <c r="X13" s="8" t="n">
        <v>0</v>
      </c>
      <c r="Y13" s="8" t="inlineStr"/>
      <c r="Z13" s="8" t="inlineStr"/>
      <c r="AA13" s="8" t="inlineStr"/>
      <c r="AB13" s="8" t="n">
        <v>0</v>
      </c>
      <c r="AC13" s="8" t="n">
        <v>0</v>
      </c>
      <c r="AD13" s="8" t="inlineStr"/>
      <c r="AE13" s="8" t="inlineStr"/>
      <c r="AF13" s="8" t="inlineStr"/>
      <c r="AG13" s="8" t="inlineStr">
        <is>
          <t>SELF</t>
        </is>
      </c>
      <c r="AH13" s="8" t="inlineStr">
        <is>
          <t>COMMON</t>
        </is>
      </c>
      <c r="AI13" s="8" t="inlineStr"/>
      <c r="AJ13" s="8" t="n">
        <v>1</v>
      </c>
      <c r="AK13" s="8">
        <f>ROUND(G13*0.6 + N13*0.4 + P13*0.7 + Q13*8 + ABS(L13)*0.3, 0)</f>
        <v/>
      </c>
      <c r="AL13" s="8">
        <f>IFERROR(D13-AG13,"")</f>
        <v/>
      </c>
      <c r="AM13" s="8" t="inlineStr">
        <is>
          <t>Grows one extra Disgust layer. Grown layers are TEMPORARY: once broken they never regrow.</t>
        </is>
      </c>
    </row>
    <row r="14">
      <c r="A14" s="8" t="inlineStr">
        <is>
          <t>GEN_ANGER</t>
        </is>
      </c>
      <c r="B14" s="8" t="inlineStr">
        <is>
          <t>Bristle</t>
        </is>
      </c>
      <c r="C14" s="8" t="inlineStr">
        <is>
          <t>ANGER</t>
        </is>
      </c>
      <c r="D14" s="8" t="n">
        <v>15</v>
      </c>
      <c r="E14" s="8" t="inlineStr">
        <is>
          <t>ADDLAYER</t>
        </is>
      </c>
      <c r="F14" s="8" t="n">
        <v>1</v>
      </c>
      <c r="G14" s="8" t="n">
        <v>0</v>
      </c>
      <c r="H14" s="8" t="n">
        <v>0</v>
      </c>
      <c r="I14" s="8" t="inlineStr">
        <is>
          <t>ROT</t>
        </is>
      </c>
      <c r="J14" s="8" t="inlineStr">
        <is>
          <t>SELF</t>
        </is>
      </c>
      <c r="K14" s="8" t="inlineStr">
        <is>
          <t>SINGLE</t>
        </is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1</v>
      </c>
      <c r="U14" s="8" t="n">
        <v>1</v>
      </c>
      <c r="V14" s="8" t="n">
        <v>2</v>
      </c>
      <c r="W14" s="8" t="inlineStr">
        <is>
          <t>Defence. Grows a {LAYER} that *never regrows* once broken.</t>
        </is>
      </c>
      <c r="X14" s="8" t="n">
        <v>0</v>
      </c>
      <c r="Y14" s="8" t="inlineStr"/>
      <c r="Z14" s="8" t="inlineStr"/>
      <c r="AA14" s="8" t="inlineStr"/>
      <c r="AB14" s="8" t="n">
        <v>0</v>
      </c>
      <c r="AC14" s="8" t="n">
        <v>0</v>
      </c>
      <c r="AD14" s="8" t="inlineStr"/>
      <c r="AE14" s="8" t="inlineStr"/>
      <c r="AF14" s="8" t="inlineStr"/>
      <c r="AG14" s="8" t="inlineStr">
        <is>
          <t>SELF</t>
        </is>
      </c>
      <c r="AH14" s="8" t="inlineStr">
        <is>
          <t>COMMON</t>
        </is>
      </c>
      <c r="AI14" s="8" t="inlineStr"/>
      <c r="AJ14" s="8" t="n">
        <v>1</v>
      </c>
      <c r="AK14" s="8">
        <f>ROUND(G14*0.6 + N14*0.4 + P14*0.7 + Q14*8 + ABS(L14)*0.3, 0)</f>
        <v/>
      </c>
      <c r="AL14" s="8">
        <f>IFERROR(D14-AG14,"")</f>
        <v/>
      </c>
      <c r="AM14" s="8" t="inlineStr">
        <is>
          <t>Grows one extra Anger layer. Grown layers are TEMPORARY: once broken they never regrow.</t>
        </is>
      </c>
    </row>
    <row r="15">
      <c r="A15" s="8" t="inlineStr">
        <is>
          <t>ROT</t>
        </is>
      </c>
      <c r="B15" s="8" t="inlineStr">
        <is>
          <t>Fester</t>
        </is>
      </c>
      <c r="C15" s="8" t="inlineStr">
        <is>
          <t>DISGUST</t>
        </is>
      </c>
      <c r="D15" s="8" t="n">
        <v>25</v>
      </c>
      <c r="E15" s="8" t="inlineStr">
        <is>
          <t>DEBUFF</t>
        </is>
      </c>
      <c r="F15" s="8" t="n">
        <v>0</v>
      </c>
      <c r="G15" s="8" t="n">
        <v>0</v>
      </c>
      <c r="H15" s="8" t="n">
        <v>0</v>
      </c>
      <c r="I15" s="8" t="inlineStr">
        <is>
          <t>ROT</t>
        </is>
      </c>
      <c r="J15" s="8" t="inlineStr">
        <is>
          <t>ENEMY</t>
        </is>
      </c>
      <c r="K15" s="8" t="inlineStr">
        <is>
          <t>SINGLE</t>
        </is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1</v>
      </c>
      <c r="U15" s="8" t="n">
        <v>1</v>
      </c>
      <c r="V15" s="8" t="n">
        <v>2</v>
      </c>
      <c r="W15" s="8" t="inlineStr">
        <is>
          <t>Debuff. Target cannot regrow *2* {LAYERS} for *2 turns*.</t>
        </is>
      </c>
      <c r="X15" s="8" t="n">
        <v>0</v>
      </c>
      <c r="Y15" s="8" t="inlineStr"/>
      <c r="Z15" s="8" t="inlineStr"/>
      <c r="AA15" s="8" t="inlineStr">
        <is>
          <t>NO_REGEN</t>
        </is>
      </c>
      <c r="AB15" s="8" t="n">
        <v>0</v>
      </c>
      <c r="AC15" s="8" t="n">
        <v>2</v>
      </c>
      <c r="AD15" s="8" t="inlineStr"/>
      <c r="AE15" s="8" t="inlineStr"/>
      <c r="AF15" s="8" t="inlineStr"/>
      <c r="AG15" s="8" t="inlineStr">
        <is>
          <t>LOWEST_MS</t>
        </is>
      </c>
      <c r="AH15" s="8" t="inlineStr">
        <is>
          <t>COMMON</t>
        </is>
      </c>
      <c r="AI15" s="8" t="inlineStr"/>
      <c r="AJ15" s="8" t="n">
        <v>1</v>
      </c>
      <c r="AK15" s="8">
        <f>ROUND(G15*0.6 + N15*0.4 + P15*0.7 + Q15*8 + ABS(L15)*0.3, 0)</f>
        <v/>
      </c>
      <c r="AL15" s="8">
        <f>IFERROR(D15-AG15,"")</f>
        <v/>
      </c>
      <c r="AM15" s="8" t="inlineStr">
        <is>
          <t>For 2 turns the target cannot regrow 2 of its broken layers.</t>
        </is>
      </c>
    </row>
    <row r="16">
      <c r="A16" s="8" t="inlineStr">
        <is>
          <t>INFLICT_SAD</t>
        </is>
      </c>
      <c r="B16" s="8" t="inlineStr">
        <is>
          <t>Self-Harm</t>
        </is>
      </c>
      <c r="C16" s="8" t="inlineStr">
        <is>
          <t>SADNESS</t>
        </is>
      </c>
      <c r="D16" s="8" t="n">
        <v>30</v>
      </c>
      <c r="E16" s="8" t="inlineStr">
        <is>
          <t>DEBUFF</t>
        </is>
      </c>
      <c r="F16" s="8" t="n">
        <v>0</v>
      </c>
      <c r="G16" s="8" t="n">
        <v>0</v>
      </c>
      <c r="H16" s="8" t="n">
        <v>0</v>
      </c>
      <c r="I16" s="8" t="inlineStr">
        <is>
          <t>DROP</t>
        </is>
      </c>
      <c r="J16" s="8" t="inlineStr">
        <is>
          <t>ENEMY</t>
        </is>
      </c>
      <c r="K16" s="8" t="inlineStr">
        <is>
          <t>SINGLE</t>
        </is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1</v>
      </c>
      <c r="U16" s="8" t="n">
        <v>1</v>
      </c>
      <c r="V16" s="8" t="n">
        <v>2</v>
      </c>
      <c r="W16" s="8" t="inlineStr">
        <is>
          <t>Status. Target attacks *itself* each round for *2 turns*.</t>
        </is>
      </c>
      <c r="X16" s="8" t="n">
        <v>0</v>
      </c>
      <c r="Y16" s="8" t="inlineStr"/>
      <c r="Z16" s="8" t="inlineStr"/>
      <c r="AA16" s="8" t="inlineStr">
        <is>
          <t>SAD</t>
        </is>
      </c>
      <c r="AB16" s="8" t="n">
        <v>0</v>
      </c>
      <c r="AC16" s="8" t="n">
        <v>2</v>
      </c>
      <c r="AD16" s="8" t="inlineStr"/>
      <c r="AE16" s="8" t="inlineStr"/>
      <c r="AF16" s="8" t="inlineStr"/>
      <c r="AG16" s="8" t="inlineStr">
        <is>
          <t>LOWEST_MS</t>
        </is>
      </c>
      <c r="AH16" s="8" t="inlineStr">
        <is>
          <t>COMMON</t>
        </is>
      </c>
      <c r="AI16" s="8" t="inlineStr"/>
      <c r="AJ16" s="8" t="n">
        <v>1</v>
      </c>
      <c r="AK16" s="8">
        <f>ROUND(G16*0.6 + N16*0.4 + P16*0.7 + Q16*8 + ABS(L16)*0.3, 0)</f>
        <v/>
      </c>
      <c r="AL16" s="8">
        <f>IFERROR(D16-AG16,"")</f>
        <v/>
      </c>
      <c r="AM16" s="8" t="inlineStr">
        <is>
          <t>Each round end the target turns one of its own attacks on itself. NOTE: distinct from SELF_HARM, which is the Overload-forced station.</t>
        </is>
      </c>
    </row>
    <row r="17">
      <c r="A17" s="8" t="inlineStr">
        <is>
          <t>BLIND</t>
        </is>
      </c>
      <c r="B17" s="8" t="inlineStr">
        <is>
          <t>Blinded by Hate</t>
        </is>
      </c>
      <c r="C17" s="8" t="inlineStr">
        <is>
          <t>ANGER</t>
        </is>
      </c>
      <c r="D17" s="8" t="n">
        <v>30</v>
      </c>
      <c r="E17" s="8" t="inlineStr">
        <is>
          <t>DEBUFF</t>
        </is>
      </c>
      <c r="F17" s="8" t="n">
        <v>0</v>
      </c>
      <c r="G17" s="8" t="n">
        <v>0</v>
      </c>
      <c r="H17" s="8" t="n">
        <v>0</v>
      </c>
      <c r="I17" s="8" t="inlineStr">
        <is>
          <t>EYE</t>
        </is>
      </c>
      <c r="J17" s="8" t="inlineStr">
        <is>
          <t>ENEMY</t>
        </is>
      </c>
      <c r="K17" s="8" t="inlineStr">
        <is>
          <t>SINGLE</t>
        </is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1</v>
      </c>
      <c r="U17" s="8" t="n">
        <v>1</v>
      </c>
      <c r="V17" s="8" t="n">
        <v>2</v>
      </c>
      <c r="W17" s="8" t="inlineStr">
        <is>
          <t>Debuff. Target *misses half* its attacks for *2 turns*.</t>
        </is>
      </c>
      <c r="X17" s="8" t="n">
        <v>0</v>
      </c>
      <c r="Y17" s="8" t="inlineStr"/>
      <c r="Z17" s="8" t="inlineStr"/>
      <c r="AA17" s="8" t="inlineStr">
        <is>
          <t>BLINDED</t>
        </is>
      </c>
      <c r="AB17" s="8" t="n">
        <v>0</v>
      </c>
      <c r="AC17" s="8" t="n">
        <v>2</v>
      </c>
      <c r="AD17" s="8" t="inlineStr"/>
      <c r="AE17" s="8" t="inlineStr"/>
      <c r="AF17" s="8" t="inlineStr"/>
      <c r="AG17" s="8" t="inlineStr">
        <is>
          <t>LOWEST_MS</t>
        </is>
      </c>
      <c r="AH17" s="8" t="inlineStr">
        <is>
          <t>COMMON</t>
        </is>
      </c>
      <c r="AI17" s="8" t="inlineStr"/>
      <c r="AJ17" s="8" t="n">
        <v>1</v>
      </c>
      <c r="AK17" s="8">
        <f>ROUND(G17*0.6 + N17*0.4 + P17*0.7 + Q17*8 + ABS(L17)*0.3, 0)</f>
        <v/>
      </c>
      <c r="AL17" s="8">
        <f>IFERROR(D17-AG17,"")</f>
        <v/>
      </c>
      <c r="AM17" s="8" t="inlineStr">
        <is>
          <t>ENEMY ability. The target misses half its attacks for 2 turns.</t>
        </is>
      </c>
    </row>
    <row r="18">
      <c r="A18" s="8" t="inlineStr">
        <is>
          <t>SELF_HARM</t>
        </is>
      </c>
      <c r="B18" s="8" t="inlineStr">
        <is>
          <t>Self Harm</t>
        </is>
      </c>
      <c r="C18" s="8" t="inlineStr"/>
      <c r="D18" s="8" t="n">
        <v>0</v>
      </c>
      <c r="E18" s="8" t="inlineStr">
        <is>
          <t>SELFHARM</t>
        </is>
      </c>
      <c r="F18" s="8" t="n">
        <v>25</v>
      </c>
      <c r="G18" s="8" t="n">
        <v>0</v>
      </c>
      <c r="H18" s="8" t="n">
        <v>0</v>
      </c>
      <c r="I18" s="8" t="inlineStr">
        <is>
          <t>WARN</t>
        </is>
      </c>
      <c r="J18" s="8" t="inlineStr">
        <is>
          <t>SELF</t>
        </is>
      </c>
      <c r="K18" s="8" t="inlineStr">
        <is>
          <t>SINGLE</t>
        </is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1</v>
      </c>
      <c r="U18" s="8" t="n">
        <v>0</v>
      </c>
      <c r="V18" s="8" t="n">
        <v>0</v>
      </c>
      <c r="W18" s="8" t="inlineStr">
        <is>
          <t>Status. Forced by {OVERLOAD}; costs you {MS}.</t>
        </is>
      </c>
      <c r="X18" s="8" t="n">
        <v>0</v>
      </c>
      <c r="Y18" s="8" t="inlineStr"/>
      <c r="Z18" s="8" t="inlineStr"/>
      <c r="AA18" s="8" t="inlineStr"/>
      <c r="AB18" s="8" t="n">
        <v>0</v>
      </c>
      <c r="AC18" s="8" t="n">
        <v>0</v>
      </c>
      <c r="AD18" s="8" t="inlineStr"/>
      <c r="AE18" s="8" t="inlineStr"/>
      <c r="AF18" s="8" t="inlineStr"/>
      <c r="AG18" s="8" t="inlineStr">
        <is>
          <t>SELF</t>
        </is>
      </c>
      <c r="AH18" s="8" t="inlineStr">
        <is>
          <t>OVERLOAD</t>
        </is>
      </c>
      <c r="AI18" s="8" t="inlineStr"/>
      <c r="AJ18" s="8" t="n">
        <v>1</v>
      </c>
      <c r="AK18" s="8">
        <f>ROUND(G18*0.6 + N18*0.4 + P18*0.7 + Q18*8 + ABS(L18)*0.3, 0)</f>
        <v/>
      </c>
      <c r="AL18" s="8">
        <f>IFERROR(D18-AG18,"")</f>
        <v/>
      </c>
      <c r="AM18" s="8" t="inlineStr">
        <is>
          <t>OVERLOAD ONLY. Forced into your line when Charge passes your ceiling. Cannot be moved or removed.</t>
        </is>
      </c>
    </row>
    <row r="19">
      <c r="A19" s="8" t="inlineStr">
        <is>
          <t>FEED</t>
        </is>
      </c>
      <c r="B19" s="8" t="inlineStr">
        <is>
          <t>Feed</t>
        </is>
      </c>
      <c r="C19" s="8" t="inlineStr"/>
      <c r="D19" s="8" t="n">
        <v>0</v>
      </c>
      <c r="E19" s="8" t="inlineStr">
        <is>
          <t>FEED</t>
        </is>
      </c>
      <c r="F19" s="8" t="n">
        <v>30</v>
      </c>
      <c r="G19" s="8" t="n">
        <v>0</v>
      </c>
      <c r="H19" s="8" t="n">
        <v>0</v>
      </c>
      <c r="I19" s="8" t="inlineStr">
        <is>
          <t>DROP</t>
        </is>
      </c>
      <c r="J19" s="8" t="inlineStr">
        <is>
          <t>ENEMY</t>
        </is>
      </c>
      <c r="K19" s="8" t="inlineStr">
        <is>
          <t>SINGLE</t>
        </is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1</v>
      </c>
      <c r="U19" s="8" t="n">
        <v>0</v>
      </c>
      <c r="V19" s="8" t="n">
        <v>0</v>
      </c>
      <c r="W19" s="8" t="inlineStr">
        <is>
          <t>Status. Forced by {OVERLOAD}; *heals* your opponent.</t>
        </is>
      </c>
      <c r="X19" s="8" t="n">
        <v>0</v>
      </c>
      <c r="Y19" s="8" t="inlineStr"/>
      <c r="Z19" s="8" t="inlineStr"/>
      <c r="AA19" s="8" t="inlineStr"/>
      <c r="AB19" s="8" t="n">
        <v>0</v>
      </c>
      <c r="AC19" s="8" t="n">
        <v>0</v>
      </c>
      <c r="AD19" s="8" t="inlineStr"/>
      <c r="AE19" s="8" t="inlineStr"/>
      <c r="AF19" s="8" t="inlineStr"/>
      <c r="AG19" s="8" t="inlineStr">
        <is>
          <t>AS_WRITTEN</t>
        </is>
      </c>
      <c r="AH19" s="8" t="inlineStr">
        <is>
          <t>OVERLOAD</t>
        </is>
      </c>
      <c r="AI19" s="8" t="inlineStr"/>
      <c r="AJ19" s="8" t="n">
        <v>1</v>
      </c>
      <c r="AK19" s="8">
        <f>ROUND(G19*0.6 + N19*0.4 + P19*0.7 + Q19*8 + ABS(L19)*0.3, 0)</f>
        <v/>
      </c>
      <c r="AL19" s="8">
        <f>IFERROR(D19-AG19,"")</f>
        <v/>
      </c>
      <c r="AM19" s="8" t="inlineStr">
        <is>
          <t>OVERLOAD ONLY. Heals your opponent. Cannot be moved or removed.</t>
        </is>
      </c>
    </row>
  </sheetData>
  <mergeCells count="1">
    <mergeCell ref="A1:A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40" customWidth="1" min="9" max="9"/>
  </cols>
  <sheetData>
    <row r="1">
      <c r="A1" s="4" t="inlineStr">
        <is>
          <t>One Loadout per emotion; the player carries `equippedSlots` of them into a battle (units.loadouts). A Loadout may hold any ability whose emotion set includes its own emotion — see abilities.emotions for hybrids. Blank slots render as empty.</t>
        </is>
      </c>
    </row>
    <row r="3">
      <c r="A3" s="5" t="inlineStr">
        <is>
          <t>id</t>
        </is>
      </c>
      <c r="B3" s="5" t="inlineStr">
        <is>
          <t>emotion</t>
        </is>
      </c>
      <c r="C3" s="5" t="inlineStr">
        <is>
          <t>name</t>
        </is>
      </c>
      <c r="D3" s="5" t="inlineStr">
        <is>
          <t>slot1</t>
        </is>
      </c>
      <c r="E3" s="5" t="inlineStr">
        <is>
          <t>slot2</t>
        </is>
      </c>
      <c r="F3" s="5" t="inlineStr">
        <is>
          <t>slot3</t>
        </is>
      </c>
      <c r="G3" s="5" t="inlineStr">
        <is>
          <t>slot4</t>
        </is>
      </c>
      <c r="H3" s="5" t="inlineStr">
        <is>
          <t>enabled</t>
        </is>
      </c>
      <c r="I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6" t="inlineStr">
        <is>
          <t>LIVE</t>
        </is>
      </c>
      <c r="I4" s="7" t="inlineStr">
        <is>
          <t>planned</t>
        </is>
      </c>
    </row>
    <row r="5">
      <c r="A5" s="8" t="inlineStr">
        <is>
          <t>LO_ANGER</t>
        </is>
      </c>
      <c r="B5" s="8" t="inlineStr">
        <is>
          <t>ANGER</t>
        </is>
      </c>
      <c r="C5" s="8" t="inlineStr">
        <is>
          <t>Anger</t>
        </is>
      </c>
      <c r="D5" s="8" t="inlineStr">
        <is>
          <t>ATK_ANGER</t>
        </is>
      </c>
      <c r="E5" s="8" t="inlineStr">
        <is>
          <t>HVY_ANGER</t>
        </is>
      </c>
      <c r="F5" s="8" t="inlineStr">
        <is>
          <t>GEN_ANGER</t>
        </is>
      </c>
      <c r="G5" s="8" t="inlineStr"/>
      <c r="H5" s="8" t="n">
        <v>1</v>
      </c>
      <c r="I5" s="8" t="inlineStr"/>
    </row>
    <row r="6">
      <c r="A6" s="8" t="inlineStr">
        <is>
          <t>LO_SADNESS</t>
        </is>
      </c>
      <c r="B6" s="8" t="inlineStr">
        <is>
          <t>SADNESS</t>
        </is>
      </c>
      <c r="C6" s="8" t="inlineStr">
        <is>
          <t>Sadness</t>
        </is>
      </c>
      <c r="D6" s="8" t="inlineStr">
        <is>
          <t>ATK_SADNESS</t>
        </is>
      </c>
      <c r="E6" s="8" t="inlineStr">
        <is>
          <t>HVY_SADNESS</t>
        </is>
      </c>
      <c r="F6" s="8" t="inlineStr">
        <is>
          <t>INFLICT_SAD</t>
        </is>
      </c>
      <c r="G6" s="8" t="inlineStr"/>
      <c r="H6" s="8" t="n">
        <v>1</v>
      </c>
      <c r="I6" s="8" t="inlineStr"/>
    </row>
    <row r="7">
      <c r="A7" s="8" t="inlineStr">
        <is>
          <t>LO_JOY</t>
        </is>
      </c>
      <c r="B7" s="8" t="inlineStr">
        <is>
          <t>JOY</t>
        </is>
      </c>
      <c r="C7" s="8" t="inlineStr">
        <is>
          <t>Joy</t>
        </is>
      </c>
      <c r="D7" s="8" t="inlineStr">
        <is>
          <t>ATK_JOY</t>
        </is>
      </c>
      <c r="E7" s="8" t="inlineStr">
        <is>
          <t>HVY_JOY</t>
        </is>
      </c>
      <c r="F7" s="8" t="inlineStr"/>
      <c r="G7" s="8" t="inlineStr"/>
      <c r="H7" s="8" t="n">
        <v>1</v>
      </c>
      <c r="I7" s="8" t="inlineStr"/>
    </row>
    <row r="8">
      <c r="A8" s="8" t="inlineStr">
        <is>
          <t>LO_DISGUST</t>
        </is>
      </c>
      <c r="B8" s="8" t="inlineStr">
        <is>
          <t>DISGUST</t>
        </is>
      </c>
      <c r="C8" s="8" t="inlineStr">
        <is>
          <t>Disgust</t>
        </is>
      </c>
      <c r="D8" s="8" t="inlineStr">
        <is>
          <t>GEN_DISGUST</t>
        </is>
      </c>
      <c r="E8" s="8" t="inlineStr">
        <is>
          <t>ROT</t>
        </is>
      </c>
      <c r="F8" s="8" t="inlineStr"/>
      <c r="G8" s="8" t="inlineStr"/>
      <c r="H8" s="8" t="n">
        <v>1</v>
      </c>
      <c r="I8" s="8" t="inlineStr"/>
    </row>
    <row r="9">
      <c r="A9" s="8" t="inlineStr">
        <is>
          <t>LO_SURPRISE</t>
        </is>
      </c>
      <c r="B9" s="8" t="inlineStr">
        <is>
          <t>SURPRISE</t>
        </is>
      </c>
      <c r="C9" s="8" t="inlineStr">
        <is>
          <t>Surprise</t>
        </is>
      </c>
      <c r="D9" s="8" t="inlineStr"/>
      <c r="E9" s="8" t="inlineStr"/>
      <c r="F9" s="8" t="inlineStr"/>
      <c r="G9" s="8" t="inlineStr"/>
      <c r="H9" s="8" t="n">
        <v>1</v>
      </c>
      <c r="I9" s="8" t="inlineStr">
        <is>
          <t>No Surprise abilities exist yet.</t>
        </is>
      </c>
    </row>
    <row r="10">
      <c r="A10" s="8" t="inlineStr">
        <is>
          <t>LO_FEAR</t>
        </is>
      </c>
      <c r="B10" s="8" t="inlineStr">
        <is>
          <t>FEAR</t>
        </is>
      </c>
      <c r="C10" s="8" t="inlineStr">
        <is>
          <t>Fear</t>
        </is>
      </c>
      <c r="D10" s="8" t="inlineStr"/>
      <c r="E10" s="8" t="inlineStr"/>
      <c r="F10" s="8" t="inlineStr"/>
      <c r="G10" s="8" t="inlineStr"/>
      <c r="H10" s="8" t="n">
        <v>1</v>
      </c>
      <c r="I10" s="8" t="inlineStr">
        <is>
          <t>No Fear abilities exist yet.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13" customWidth="1" min="4" max="4"/>
    <col width="12" customWidth="1" min="5" max="5"/>
    <col width="16" customWidth="1" min="6" max="6"/>
    <col width="14" customWidth="1" min="7" max="7"/>
    <col width="11" customWidth="1" min="8" max="8"/>
    <col width="18" customWidth="1" min="9" max="9"/>
    <col width="12" customWidth="1" min="10" max="10"/>
    <col width="17" customWidth="1" min="11" max="11"/>
    <col width="12" customWidth="1" min="12" max="12"/>
    <col width="52" customWidth="1" min="13" max="13"/>
  </cols>
  <sheetData>
    <row r="1">
      <c r="A1" s="4" t="inlineStr">
        <is>
          <t>THE SYNERGY TABLE — the main lever for designing interactions. One row per attack-emotion x layer-emotion pair. '*' is a wildcard; 'NONE' in layer_emotion means the target has no layers. When several rows match, the HIGHEST priority wins, so specific rows beat wildcards. Add a row like  JOY | SADNESS | 20 | 2.0 | 0 | CATHARSIS  and that pairing immediately behaves differently — no code change.</t>
        </is>
      </c>
    </row>
    <row r="3">
      <c r="A3" s="5" t="inlineStr">
        <is>
          <t>attack_emotion</t>
        </is>
      </c>
      <c r="B3" s="5" t="inlineStr">
        <is>
          <t>layer_emotion</t>
        </is>
      </c>
      <c r="C3" s="5" t="inlineStr">
        <is>
          <t>priority</t>
        </is>
      </c>
      <c r="D3" s="5" t="inlineStr">
        <is>
          <t>dmg_mult</t>
        </is>
      </c>
      <c r="E3" s="5" t="inlineStr">
        <is>
          <t>ec_mult</t>
        </is>
      </c>
      <c r="F3" s="5" t="inlineStr">
        <is>
          <t>label</t>
        </is>
      </c>
      <c r="G3" s="5" t="inlineStr">
        <is>
          <t>tag_class</t>
        </is>
      </c>
      <c r="H3" s="5" t="inlineStr">
        <is>
          <t>sound</t>
        </is>
      </c>
      <c r="I3" s="5" t="inlineStr">
        <is>
          <t>rotates_layer</t>
        </is>
      </c>
      <c r="J3" s="5" t="inlineStr">
        <is>
          <t>self_ec</t>
        </is>
      </c>
      <c r="K3" s="5" t="inlineStr">
        <is>
          <t>status_apply</t>
        </is>
      </c>
      <c r="L3" s="5" t="inlineStr">
        <is>
          <t>enabled</t>
        </is>
      </c>
      <c r="M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</row>
    <row r="5">
      <c r="A5" s="8" t="inlineStr">
        <is>
          <t>*</t>
        </is>
      </c>
      <c r="B5" s="8" t="inlineStr">
        <is>
          <t>*</t>
        </is>
      </c>
      <c r="C5" s="8" t="n">
        <v>0</v>
      </c>
      <c r="D5" s="8" t="n">
        <v>1</v>
      </c>
      <c r="E5" s="8" t="n">
        <v>0</v>
      </c>
      <c r="F5" s="8" t="inlineStr">
        <is>
          <t>OFF TYPE</t>
        </is>
      </c>
      <c r="G5" s="8" t="inlineStr">
        <is>
          <t>off</t>
        </is>
      </c>
      <c r="H5" s="8" t="inlineStr">
        <is>
          <t>hit</t>
        </is>
      </c>
      <c r="I5" s="8" t="inlineStr"/>
      <c r="J5" s="8" t="n">
        <v>0</v>
      </c>
      <c r="K5" s="8" t="inlineStr"/>
      <c r="L5" s="8" t="n">
        <v>1</v>
      </c>
      <c r="M5" s="8" t="inlineStr">
        <is>
          <t>Fallback. Every pair you do not name lands here.</t>
        </is>
      </c>
    </row>
    <row r="6">
      <c r="A6" s="8" t="inlineStr">
        <is>
          <t>*</t>
        </is>
      </c>
      <c r="B6" s="8" t="inlineStr">
        <is>
          <t>NONE</t>
        </is>
      </c>
      <c r="C6" s="8" t="n">
        <v>5</v>
      </c>
      <c r="D6" s="8" t="n">
        <v>2</v>
      </c>
      <c r="E6" s="8" t="n">
        <v>0</v>
      </c>
      <c r="F6" s="8" t="inlineStr">
        <is>
          <t>EXPOSED!</t>
        </is>
      </c>
      <c r="G6" s="8" t="inlineStr">
        <is>
          <t>dmg</t>
        </is>
      </c>
      <c r="H6" s="8" t="inlineStr">
        <is>
          <t>hit</t>
        </is>
      </c>
      <c r="I6" s="8" t="inlineStr"/>
      <c r="J6" s="8" t="n">
        <v>0</v>
      </c>
      <c r="K6" s="8" t="inlineStr"/>
      <c r="L6" s="8" t="n">
        <v>1</v>
      </c>
      <c r="M6" s="8" t="inlineStr">
        <is>
          <t>No layers left: double damage, no charge.</t>
        </is>
      </c>
    </row>
    <row r="7">
      <c r="A7" s="8" t="inlineStr">
        <is>
          <t>ANGER</t>
        </is>
      </c>
      <c r="B7" s="8" t="inlineStr">
        <is>
          <t>ANGER</t>
        </is>
      </c>
      <c r="C7" s="8" t="n">
        <v>10</v>
      </c>
      <c r="D7" s="8" t="n">
        <v>0.5</v>
      </c>
      <c r="E7" s="8" t="n">
        <v>1</v>
      </c>
      <c r="F7" s="8" t="inlineStr">
        <is>
          <t>ABSORBED!</t>
        </is>
      </c>
      <c r="G7" s="8" t="inlineStr">
        <is>
          <t>absorb</t>
        </is>
      </c>
      <c r="H7" s="8" t="inlineStr">
        <is>
          <t>absorb</t>
        </is>
      </c>
      <c r="I7" s="8" t="inlineStr"/>
      <c r="J7" s="8" t="n">
        <v>0</v>
      </c>
      <c r="K7" s="8" t="inlineStr"/>
      <c r="L7" s="8" t="n">
        <v>1</v>
      </c>
      <c r="M7" s="8" t="inlineStr">
        <is>
          <t>Same emotion: the layer drinks it.</t>
        </is>
      </c>
    </row>
    <row r="8">
      <c r="A8" s="8" t="inlineStr">
        <is>
          <t>SURPRISE</t>
        </is>
      </c>
      <c r="B8" s="8" t="inlineStr">
        <is>
          <t>SURPRISE</t>
        </is>
      </c>
      <c r="C8" s="8" t="n">
        <v>10</v>
      </c>
      <c r="D8" s="8" t="n">
        <v>0.5</v>
      </c>
      <c r="E8" s="8" t="n">
        <v>1</v>
      </c>
      <c r="F8" s="8" t="inlineStr">
        <is>
          <t>ABSORBED!</t>
        </is>
      </c>
      <c r="G8" s="8" t="inlineStr">
        <is>
          <t>absorb</t>
        </is>
      </c>
      <c r="H8" s="8" t="inlineStr">
        <is>
          <t>absorb</t>
        </is>
      </c>
      <c r="I8" s="8" t="inlineStr"/>
      <c r="J8" s="8" t="n">
        <v>0</v>
      </c>
      <c r="K8" s="8" t="inlineStr"/>
      <c r="L8" s="8" t="n">
        <v>1</v>
      </c>
      <c r="M8" s="8" t="inlineStr">
        <is>
          <t>Same emotion: the layer drinks it.</t>
        </is>
      </c>
    </row>
    <row r="9">
      <c r="A9" s="8" t="inlineStr">
        <is>
          <t>DISGUST</t>
        </is>
      </c>
      <c r="B9" s="8" t="inlineStr">
        <is>
          <t>DISGUST</t>
        </is>
      </c>
      <c r="C9" s="8" t="n">
        <v>10</v>
      </c>
      <c r="D9" s="8" t="n">
        <v>0.5</v>
      </c>
      <c r="E9" s="8" t="n">
        <v>1</v>
      </c>
      <c r="F9" s="8" t="inlineStr">
        <is>
          <t>ABSORBED!</t>
        </is>
      </c>
      <c r="G9" s="8" t="inlineStr">
        <is>
          <t>absorb</t>
        </is>
      </c>
      <c r="H9" s="8" t="inlineStr">
        <is>
          <t>absorb</t>
        </is>
      </c>
      <c r="I9" s="8" t="inlineStr"/>
      <c r="J9" s="8" t="n">
        <v>0</v>
      </c>
      <c r="K9" s="8" t="inlineStr"/>
      <c r="L9" s="8" t="n">
        <v>1</v>
      </c>
      <c r="M9" s="8" t="inlineStr">
        <is>
          <t>Same emotion: the layer drinks it.</t>
        </is>
      </c>
    </row>
    <row r="10">
      <c r="A10" s="8" t="inlineStr">
        <is>
          <t>JOY</t>
        </is>
      </c>
      <c r="B10" s="8" t="inlineStr">
        <is>
          <t>JOY</t>
        </is>
      </c>
      <c r="C10" s="8" t="n">
        <v>10</v>
      </c>
      <c r="D10" s="8" t="n">
        <v>0.5</v>
      </c>
      <c r="E10" s="8" t="n">
        <v>1</v>
      </c>
      <c r="F10" s="8" t="inlineStr">
        <is>
          <t>ABSORBED!</t>
        </is>
      </c>
      <c r="G10" s="8" t="inlineStr">
        <is>
          <t>absorb</t>
        </is>
      </c>
      <c r="H10" s="8" t="inlineStr">
        <is>
          <t>absorb</t>
        </is>
      </c>
      <c r="I10" s="8" t="inlineStr"/>
      <c r="J10" s="8" t="n">
        <v>0</v>
      </c>
      <c r="K10" s="8" t="inlineStr"/>
      <c r="L10" s="8" t="n">
        <v>1</v>
      </c>
      <c r="M10" s="8" t="inlineStr">
        <is>
          <t>Same emotion: the layer drinks it.</t>
        </is>
      </c>
    </row>
    <row r="11">
      <c r="A11" s="8" t="inlineStr">
        <is>
          <t>SADNESS</t>
        </is>
      </c>
      <c r="B11" s="8" t="inlineStr">
        <is>
          <t>SADNESS</t>
        </is>
      </c>
      <c r="C11" s="8" t="n">
        <v>10</v>
      </c>
      <c r="D11" s="8" t="n">
        <v>0.5</v>
      </c>
      <c r="E11" s="8" t="n">
        <v>1</v>
      </c>
      <c r="F11" s="8" t="inlineStr">
        <is>
          <t>ABSORBED!</t>
        </is>
      </c>
      <c r="G11" s="8" t="inlineStr">
        <is>
          <t>absorb</t>
        </is>
      </c>
      <c r="H11" s="8" t="inlineStr">
        <is>
          <t>absorb</t>
        </is>
      </c>
      <c r="I11" s="8" t="inlineStr"/>
      <c r="J11" s="8" t="n">
        <v>0</v>
      </c>
      <c r="K11" s="8" t="inlineStr"/>
      <c r="L11" s="8" t="n">
        <v>1</v>
      </c>
      <c r="M11" s="8" t="inlineStr">
        <is>
          <t>Same emotion: the layer drinks it.</t>
        </is>
      </c>
    </row>
    <row r="12">
      <c r="A12" s="8" t="inlineStr">
        <is>
          <t>FEAR</t>
        </is>
      </c>
      <c r="B12" s="8" t="inlineStr">
        <is>
          <t>FEAR</t>
        </is>
      </c>
      <c r="C12" s="8" t="n">
        <v>10</v>
      </c>
      <c r="D12" s="8" t="n">
        <v>0.5</v>
      </c>
      <c r="E12" s="8" t="n">
        <v>1</v>
      </c>
      <c r="F12" s="8" t="inlineStr">
        <is>
          <t>ABSORBED!</t>
        </is>
      </c>
      <c r="G12" s="8" t="inlineStr">
        <is>
          <t>absorb</t>
        </is>
      </c>
      <c r="H12" s="8" t="inlineStr">
        <is>
          <t>absorb</t>
        </is>
      </c>
      <c r="I12" s="8" t="inlineStr"/>
      <c r="J12" s="8" t="n">
        <v>0</v>
      </c>
      <c r="K12" s="8" t="inlineStr"/>
      <c r="L12" s="8" t="n">
        <v>1</v>
      </c>
      <c r="M12" s="8" t="inlineStr">
        <is>
          <t>Same emotion: the layer drinks it.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7" customWidth="1" min="5" max="5"/>
    <col width="26" customWidth="1" min="6" max="6"/>
    <col width="40" customWidth="1" min="7" max="7"/>
    <col width="13" customWidth="1" min="8" max="8"/>
    <col width="13" customWidth="1" min="9" max="9"/>
    <col width="20" customWidth="1" min="10" max="10"/>
    <col width="13" customWidth="1" min="11" max="11"/>
    <col width="15" customWidth="1" min="12" max="12"/>
    <col width="11" customWidth="1" min="13" max="13"/>
    <col width="17" customWidth="1" min="14" max="14"/>
    <col width="24" customWidth="1" min="15" max="15"/>
    <col width="11" customWidth="1" min="16" max="16"/>
    <col width="12" customWidth="1" min="17" max="17"/>
    <col width="42" customWidth="1" min="18" max="18"/>
  </cols>
  <sheetData>
    <row r="1">
      <c r="A1" s="4" t="inlineStr">
        <is>
          <t>One row per combatant. 'layers' is outermost-first and rotates as it takes hits. 'pool' is which abilities this unit may use. Add enemies by adding rows.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emotion</t>
        </is>
      </c>
      <c r="D3" s="5" t="inlineStr">
        <is>
          <t>max_ms</t>
        </is>
      </c>
      <c r="E3" s="5" t="inlineStr">
        <is>
          <t>start_ec_pct</t>
        </is>
      </c>
      <c r="F3" s="5" t="inlineStr">
        <is>
          <t>layers</t>
        </is>
      </c>
      <c r="G3" s="5" t="inlineStr">
        <is>
          <t>pool</t>
        </is>
      </c>
      <c r="H3" s="5" t="inlineStr">
        <is>
          <t>line_dir</t>
        </is>
      </c>
      <c r="I3" s="5" t="inlineStr">
        <is>
          <t>line_cap</t>
        </is>
      </c>
      <c r="J3" s="5" t="inlineStr">
        <is>
          <t>max_bonus_slots</t>
        </is>
      </c>
      <c r="K3" s="5" t="inlineStr">
        <is>
          <t>loadouts</t>
        </is>
      </c>
      <c r="L3" s="5" t="inlineStr">
        <is>
          <t>ai_profile</t>
        </is>
      </c>
      <c r="M3" s="5" t="inlineStr">
        <is>
          <t>init</t>
        </is>
      </c>
      <c r="N3" s="5" t="inlineStr">
        <is>
          <t>start_shield</t>
        </is>
      </c>
      <c r="O3" s="5" t="inlineStr">
        <is>
          <t>max_layers_override</t>
        </is>
      </c>
      <c r="P3" s="5" t="inlineStr">
        <is>
          <t>tags</t>
        </is>
      </c>
      <c r="Q3" s="5" t="inlineStr">
        <is>
          <t>enabled</t>
        </is>
      </c>
      <c r="R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6" t="inlineStr">
        <is>
          <t>LIVE</t>
        </is>
      </c>
      <c r="I4" s="6" t="inlineStr">
        <is>
          <t>LIVE</t>
        </is>
      </c>
      <c r="J4" s="6" t="inlineStr">
        <is>
          <t>LIVE</t>
        </is>
      </c>
      <c r="K4" s="6" t="inlineStr">
        <is>
          <t>LIVE</t>
        </is>
      </c>
      <c r="L4" s="7" t="inlineStr">
        <is>
          <t>planned</t>
        </is>
      </c>
      <c r="M4" s="7" t="inlineStr">
        <is>
          <t>planned</t>
        </is>
      </c>
      <c r="N4" s="7" t="inlineStr">
        <is>
          <t>planned</t>
        </is>
      </c>
      <c r="O4" s="7" t="inlineStr">
        <is>
          <t>planned</t>
        </is>
      </c>
      <c r="P4" s="7" t="inlineStr">
        <is>
          <t>planned</t>
        </is>
      </c>
      <c r="Q4" s="7" t="inlineStr">
        <is>
          <t>planned</t>
        </is>
      </c>
      <c r="R4" s="7" t="inlineStr">
        <is>
          <t>planned</t>
        </is>
      </c>
    </row>
    <row r="5">
      <c r="A5" s="8" t="inlineStr">
        <is>
          <t>player</t>
        </is>
      </c>
      <c r="B5" s="8" t="inlineStr">
        <is>
          <t>You</t>
        </is>
      </c>
      <c r="C5" s="8" t="inlineStr"/>
      <c r="D5" s="8" t="n">
        <v>400</v>
      </c>
      <c r="E5" s="8" t="n">
        <v>0.4</v>
      </c>
      <c r="F5" s="8" t="inlineStr">
        <is>
          <t>JOY|SADNESS</t>
        </is>
      </c>
      <c r="G5" s="8" t="inlineStr">
        <is>
          <t>ATK_ANGER|ATK_SADNESS|ATK_JOY|DEFEND|RECHARGE|HVY_ANGER|HVY_SADNESS|HVY_JOY|GEN_DISGUST|GEN_ANGER|ROT|INFLICT_SAD</t>
        </is>
      </c>
      <c r="H5" s="8" t="n">
        <v>1</v>
      </c>
      <c r="I5" s="8" t="n">
        <v>3</v>
      </c>
      <c r="J5" s="8" t="n">
        <v>6</v>
      </c>
      <c r="K5" s="8" t="inlineStr">
        <is>
          <t>LO_ANGER|LO_SADNESS|LO_JOY</t>
        </is>
      </c>
      <c r="L5" s="8" t="inlineStr"/>
      <c r="M5" s="8" t="n">
        <v>10</v>
      </c>
      <c r="N5" s="8" t="n">
        <v>0</v>
      </c>
      <c r="O5" s="8" t="inlineStr"/>
      <c r="P5" s="8" t="inlineStr">
        <is>
          <t>PLAYER</t>
        </is>
      </c>
      <c r="Q5" s="8" t="n">
        <v>1</v>
      </c>
      <c r="R5" s="8" t="inlineStr"/>
    </row>
    <row r="6">
      <c r="A6" s="8" t="inlineStr">
        <is>
          <t>enemy</t>
        </is>
      </c>
      <c r="B6" s="8" t="inlineStr">
        <is>
          <t>The Commuter</t>
        </is>
      </c>
      <c r="C6" s="8" t="inlineStr">
        <is>
          <t>ANGER</t>
        </is>
      </c>
      <c r="D6" s="8" t="n">
        <v>250</v>
      </c>
      <c r="E6" s="8" t="n">
        <v>0.4</v>
      </c>
      <c r="F6" s="8" t="inlineStr">
        <is>
          <t>ANGER|ANGER|SADNESS</t>
        </is>
      </c>
      <c r="G6" s="8" t="inlineStr">
        <is>
          <t>ATK_ANGER|ATK_SADNESS|ATK_JOY|DEFEND|RECHARGE|HVY_ANGER|HVY_SADNESS|HVY_JOY|BLIND</t>
        </is>
      </c>
      <c r="H6" s="8" t="n">
        <v>-1</v>
      </c>
      <c r="I6" s="8" t="n">
        <v>3</v>
      </c>
      <c r="J6" s="8" t="n">
        <v>6</v>
      </c>
      <c r="K6" s="8" t="inlineStr"/>
      <c r="L6" s="8" t="inlineStr">
        <is>
          <t>GREEDY_MAX_DAMAGE</t>
        </is>
      </c>
      <c r="M6" s="8" t="n">
        <v>8</v>
      </c>
      <c r="N6" s="8" t="n">
        <v>0</v>
      </c>
      <c r="O6" s="8" t="inlineStr"/>
      <c r="P6" s="8" t="inlineStr">
        <is>
          <t>ENEMY</t>
        </is>
      </c>
      <c r="Q6" s="8" t="n">
        <v>1</v>
      </c>
      <c r="R6" s="8" t="inlineStr">
        <is>
          <t>AI reads the matchups sheet, so retuning it retunes the AI.</t>
        </is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92" customWidth="1" min="4" max="4"/>
    <col width="12" customWidth="1" min="5" max="5"/>
    <col width="20" customWidth="1" min="6" max="6"/>
  </cols>
  <sheetData>
    <row r="1">
      <c r="A1" s="4" t="inlineStr">
        <is>
          <t>What each enemy says. states: INTRO (battle start) - WINNING (player drops below 20% MS) - LOSING (this enemy drops below 20% MS) - DEFEAT (this enemy dies). A battle picks one persona at random from the rows matching the enemy's emotion, so the same enemy type speaks differently each run. NOTE: this sheet uses Anger/Disgust/Sadness/Fear/Joy/Surprise, which is NOT the same six as the emotions sheet - only Anger, Sadness and Joy line up. See the README.</t>
        </is>
      </c>
    </row>
    <row r="3">
      <c r="A3" s="5" t="inlineStr">
        <is>
          <t>emotion</t>
        </is>
      </c>
      <c r="B3" s="5" t="inlineStr">
        <is>
          <t>persona</t>
        </is>
      </c>
      <c r="C3" s="5" t="inlineStr">
        <is>
          <t>state</t>
        </is>
      </c>
      <c r="D3" s="5" t="inlineStr">
        <is>
          <t>line</t>
        </is>
      </c>
      <c r="E3" s="5" t="inlineStr">
        <is>
          <t>enabled</t>
        </is>
      </c>
      <c r="F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7" t="inlineStr">
        <is>
          <t>planned</t>
        </is>
      </c>
      <c r="F4" s="7" t="inlineStr">
        <is>
          <t>planned</t>
        </is>
      </c>
    </row>
    <row r="5">
      <c r="A5" s="8" t="inlineStr">
        <is>
          <t>ANGER</t>
        </is>
      </c>
      <c r="B5" s="8" t="inlineStr">
        <is>
          <t>The Evicted</t>
        </is>
      </c>
      <c r="C5" s="8" t="inlineStr">
        <is>
          <t>INTRO</t>
        </is>
      </c>
      <c r="D5" s="8" t="inlineStr">
        <is>
          <t>Thirty years in this flat and they sell it to a fund! I'LL BURN IT DOWN WITH YOU IN IT!</t>
        </is>
      </c>
      <c r="E5" s="8" t="n">
        <v>1</v>
      </c>
      <c r="F5" s="8" t="inlineStr"/>
    </row>
    <row r="6">
      <c r="A6" s="8" t="inlineStr">
        <is>
          <t>ANGER</t>
        </is>
      </c>
      <c r="B6" s="8" t="inlineStr">
        <is>
          <t>The Evicted</t>
        </is>
      </c>
      <c r="C6" s="8" t="inlineStr">
        <is>
          <t>WINNING</t>
        </is>
      </c>
      <c r="D6" s="8" t="inlineStr">
        <is>
          <t>Choke on the ashes! CHOKE ON THEM!</t>
        </is>
      </c>
      <c r="E6" s="8" t="n">
        <v>1</v>
      </c>
      <c r="F6" s="8" t="inlineStr"/>
    </row>
    <row r="7">
      <c r="A7" s="8" t="inlineStr">
        <is>
          <t>ANGER</t>
        </is>
      </c>
      <c r="B7" s="8" t="inlineStr">
        <is>
          <t>The Evicted</t>
        </is>
      </c>
      <c r="C7" s="8" t="inlineStr">
        <is>
          <t>LOSING</t>
        </is>
      </c>
      <c r="D7" s="8" t="inlineStr">
        <is>
          <t>No... my things... my life...</t>
        </is>
      </c>
      <c r="E7" s="8" t="n">
        <v>1</v>
      </c>
      <c r="F7" s="8" t="inlineStr"/>
    </row>
    <row r="8">
      <c r="A8" s="8" t="inlineStr">
        <is>
          <t>ANGER</t>
        </is>
      </c>
      <c r="B8" s="8" t="inlineStr">
        <is>
          <t>The Evicted</t>
        </is>
      </c>
      <c r="C8" s="8" t="inlineStr">
        <is>
          <t>DEFEAT</t>
        </is>
      </c>
      <c r="D8" s="8" t="inlineStr">
        <is>
          <t>Just let me... lock the door... one last time.</t>
        </is>
      </c>
      <c r="E8" s="8" t="n">
        <v>1</v>
      </c>
      <c r="F8" s="8" t="inlineStr"/>
    </row>
    <row r="9">
      <c r="A9" s="8" t="inlineStr">
        <is>
          <t>ANGER</t>
        </is>
      </c>
      <c r="B9" s="8" t="inlineStr">
        <is>
          <t>The Exploited</t>
        </is>
      </c>
      <c r="C9" s="8" t="inlineStr">
        <is>
          <t>INTRO</t>
        </is>
      </c>
      <c r="D9" s="8" t="inlineStr">
        <is>
          <t>Fourteen hours biking in the rain for three euros! I'LL BREAK YOUR FUCKING LEGS!</t>
        </is>
      </c>
      <c r="E9" s="8" t="n">
        <v>1</v>
      </c>
      <c r="F9" s="8" t="inlineStr"/>
    </row>
    <row r="10">
      <c r="A10" s="8" t="inlineStr">
        <is>
          <t>ANGER</t>
        </is>
      </c>
      <c r="B10" s="8" t="inlineStr">
        <is>
          <t>The Exploited</t>
        </is>
      </c>
      <c r="C10" s="8" t="inlineStr">
        <is>
          <t>WINNING</t>
        </is>
      </c>
      <c r="D10" s="8" t="inlineStr">
        <is>
          <t>Take your luxury takeout and choke on it!</t>
        </is>
      </c>
      <c r="E10" s="8" t="n">
        <v>1</v>
      </c>
      <c r="F10" s="8" t="inlineStr"/>
    </row>
    <row r="11">
      <c r="A11" s="8" t="inlineStr">
        <is>
          <t>ANGER</t>
        </is>
      </c>
      <c r="B11" s="8" t="inlineStr">
        <is>
          <t>The Exploited</t>
        </is>
      </c>
      <c r="C11" s="8" t="inlineStr">
        <is>
          <t>LOSING</t>
        </is>
      </c>
      <c r="D11" s="8" t="inlineStr">
        <is>
          <t>My bike... I can't afford to fix my bike...</t>
        </is>
      </c>
      <c r="E11" s="8" t="n">
        <v>1</v>
      </c>
      <c r="F11" s="8" t="inlineStr"/>
    </row>
    <row r="12">
      <c r="A12" s="8" t="inlineStr">
        <is>
          <t>ANGER</t>
        </is>
      </c>
      <c r="B12" s="8" t="inlineStr">
        <is>
          <t>The Exploited</t>
        </is>
      </c>
      <c r="C12" s="8" t="inlineStr">
        <is>
          <t>DEFEAT</t>
        </is>
      </c>
      <c r="D12" s="8" t="inlineStr">
        <is>
          <t>The app... it says I'm deactivated...</t>
        </is>
      </c>
      <c r="E12" s="8" t="n">
        <v>1</v>
      </c>
      <c r="F12" s="8" t="inlineStr"/>
    </row>
    <row r="13">
      <c r="A13" s="8" t="inlineStr">
        <is>
          <t>ANGER</t>
        </is>
      </c>
      <c r="B13" s="8" t="inlineStr">
        <is>
          <t>The Betrayed</t>
        </is>
      </c>
      <c r="C13" s="8" t="inlineStr">
        <is>
          <t>INTRO</t>
        </is>
      </c>
      <c r="D13" s="8" t="inlineStr">
        <is>
          <t>You think a text message makes up for six months of lies?! I'LL TEAR YOUR THROAT OUT!</t>
        </is>
      </c>
      <c r="E13" s="8" t="n">
        <v>1</v>
      </c>
      <c r="F13" s="8" t="inlineStr"/>
    </row>
    <row r="14">
      <c r="A14" s="8" t="inlineStr">
        <is>
          <t>ANGER</t>
        </is>
      </c>
      <c r="B14" s="8" t="inlineStr">
        <is>
          <t>The Betrayed</t>
        </is>
      </c>
      <c r="C14" s="8" t="inlineStr">
        <is>
          <t>WINNING</t>
        </is>
      </c>
      <c r="D14" s="8" t="inlineStr">
        <is>
          <t>Look at me! Look at me when I'm screaming at you!</t>
        </is>
      </c>
      <c r="E14" s="8" t="n">
        <v>1</v>
      </c>
      <c r="F14" s="8" t="inlineStr"/>
    </row>
    <row r="15">
      <c r="A15" s="8" t="inlineStr">
        <is>
          <t>ANGER</t>
        </is>
      </c>
      <c r="B15" s="8" t="inlineStr">
        <is>
          <t>The Betrayed</t>
        </is>
      </c>
      <c r="C15" s="8" t="inlineStr">
        <is>
          <t>LOSING</t>
        </is>
      </c>
      <c r="D15" s="8" t="inlineStr">
        <is>
          <t>Stop deflecting... stop making me the crazy one!</t>
        </is>
      </c>
      <c r="E15" s="8" t="n">
        <v>1</v>
      </c>
      <c r="F15" s="8" t="inlineStr"/>
    </row>
    <row r="16">
      <c r="A16" s="8" t="inlineStr">
        <is>
          <t>ANGER</t>
        </is>
      </c>
      <c r="B16" s="8" t="inlineStr">
        <is>
          <t>The Betrayed</t>
        </is>
      </c>
      <c r="C16" s="8" t="inlineStr">
        <is>
          <t>DEFEAT</t>
        </is>
      </c>
      <c r="D16" s="8" t="inlineStr">
        <is>
          <t>I just... wanted the truth.</t>
        </is>
      </c>
      <c r="E16" s="8" t="n">
        <v>1</v>
      </c>
      <c r="F16" s="8" t="inlineStr"/>
    </row>
    <row r="17">
      <c r="A17" s="8" t="inlineStr">
        <is>
          <t>ANGER</t>
        </is>
      </c>
      <c r="B17" s="8" t="inlineStr">
        <is>
          <t>The Vandal</t>
        </is>
      </c>
      <c r="C17" s="8" t="inlineStr">
        <is>
          <t>INTRO</t>
        </is>
      </c>
      <c r="D17" s="8" t="inlineStr">
        <is>
          <t>This isn't your playground! Get out of my neighborhood before I smash your skull!</t>
        </is>
      </c>
      <c r="E17" s="8" t="n">
        <v>1</v>
      </c>
      <c r="F17" s="8" t="inlineStr"/>
    </row>
    <row r="18">
      <c r="A18" s="8" t="inlineStr">
        <is>
          <t>ANGER</t>
        </is>
      </c>
      <c r="B18" s="8" t="inlineStr">
        <is>
          <t>The Vandal</t>
        </is>
      </c>
      <c r="C18" s="8" t="inlineStr">
        <is>
          <t>WINNING</t>
        </is>
      </c>
      <c r="D18" s="8" t="inlineStr">
        <is>
          <t>Go back to your perfect little life!</t>
        </is>
      </c>
      <c r="E18" s="8" t="n">
        <v>1</v>
      </c>
      <c r="F18" s="8" t="inlineStr"/>
    </row>
    <row r="19">
      <c r="A19" s="8" t="inlineStr">
        <is>
          <t>ANGER</t>
        </is>
      </c>
      <c r="B19" s="8" t="inlineStr">
        <is>
          <t>The Vandal</t>
        </is>
      </c>
      <c r="C19" s="8" t="inlineStr">
        <is>
          <t>LOSING</t>
        </is>
      </c>
      <c r="D19" s="8" t="inlineStr">
        <is>
          <t>There are too many of you...</t>
        </is>
      </c>
      <c r="E19" s="8" t="n">
        <v>1</v>
      </c>
      <c r="F19" s="8" t="inlineStr"/>
    </row>
    <row r="20">
      <c r="A20" s="8" t="inlineStr">
        <is>
          <t>ANGER</t>
        </is>
      </c>
      <c r="B20" s="8" t="inlineStr">
        <is>
          <t>The Vandal</t>
        </is>
      </c>
      <c r="C20" s="8" t="inlineStr">
        <is>
          <t>DEFEAT</t>
        </is>
      </c>
      <c r="D20" s="8" t="inlineStr">
        <is>
          <t>We're being erased...</t>
        </is>
      </c>
      <c r="E20" s="8" t="n">
        <v>1</v>
      </c>
      <c r="F20" s="8" t="inlineStr"/>
    </row>
    <row r="21">
      <c r="A21" s="8" t="inlineStr">
        <is>
          <t>ANGER</t>
        </is>
      </c>
      <c r="B21" s="8" t="inlineStr">
        <is>
          <t>The Denied</t>
        </is>
      </c>
      <c r="C21" s="8" t="inlineStr">
        <is>
          <t>INTRO</t>
        </is>
      </c>
      <c r="D21" s="8" t="inlineStr">
        <is>
          <t>Three years waiting for papers and you stamp DENIED?! I'LL KILL EVERYONE HERE!</t>
        </is>
      </c>
      <c r="E21" s="8" t="n">
        <v>1</v>
      </c>
      <c r="F21" s="8" t="inlineStr"/>
    </row>
    <row r="22">
      <c r="A22" s="8" t="inlineStr">
        <is>
          <t>ANGER</t>
        </is>
      </c>
      <c r="B22" s="8" t="inlineStr">
        <is>
          <t>The Denied</t>
        </is>
      </c>
      <c r="C22" s="8" t="inlineStr">
        <is>
          <t>WINNING</t>
        </is>
      </c>
      <c r="D22" s="8" t="inlineStr">
        <is>
          <t>Stamp this! STAMP THIS IN BLOOD!</t>
        </is>
      </c>
      <c r="E22" s="8" t="n">
        <v>1</v>
      </c>
      <c r="F22" s="8" t="inlineStr"/>
    </row>
    <row r="23">
      <c r="A23" s="8" t="inlineStr">
        <is>
          <t>ANGER</t>
        </is>
      </c>
      <c r="B23" s="8" t="inlineStr">
        <is>
          <t>The Denied</t>
        </is>
      </c>
      <c r="C23" s="8" t="inlineStr">
        <is>
          <t>LOSING</t>
        </is>
      </c>
      <c r="D23" s="8" t="inlineStr">
        <is>
          <t>Please, you don't understand what they'll do to me...</t>
        </is>
      </c>
      <c r="E23" s="8" t="n">
        <v>1</v>
      </c>
      <c r="F23" s="8" t="inlineStr"/>
    </row>
    <row r="24">
      <c r="A24" s="8" t="inlineStr">
        <is>
          <t>ANGER</t>
        </is>
      </c>
      <c r="B24" s="8" t="inlineStr">
        <is>
          <t>The Denied</t>
        </is>
      </c>
      <c r="C24" s="8" t="inlineStr">
        <is>
          <t>DEFEAT</t>
        </is>
      </c>
      <c r="D24" s="8" t="inlineStr">
        <is>
          <t>I don't exist anymore...</t>
        </is>
      </c>
      <c r="E24" s="8" t="n">
        <v>1</v>
      </c>
      <c r="F24" s="8" t="inlineStr"/>
    </row>
    <row r="25">
      <c r="A25" s="8" t="inlineStr">
        <is>
          <t>DISGUST</t>
        </is>
      </c>
      <c r="B25" s="8" t="inlineStr">
        <is>
          <t>The Aristocrat</t>
        </is>
      </c>
      <c r="C25" s="8" t="inlineStr">
        <is>
          <t>INTRO</t>
        </is>
      </c>
      <c r="D25" s="8" t="inlineStr">
        <is>
          <t>Look at you, sweating on the metro. Did you even shower before touching my city?</t>
        </is>
      </c>
      <c r="E25" s="8" t="n">
        <v>1</v>
      </c>
      <c r="F25" s="8" t="inlineStr"/>
    </row>
    <row r="26">
      <c r="A26" s="8" t="inlineStr">
        <is>
          <t>DISGUST</t>
        </is>
      </c>
      <c r="B26" s="8" t="inlineStr">
        <is>
          <t>The Aristocrat</t>
        </is>
      </c>
      <c r="C26" s="8" t="inlineStr">
        <is>
          <t>WINNING</t>
        </is>
      </c>
      <c r="D26" s="8" t="inlineStr">
        <is>
          <t>Filth always sinks to the bottom. Stay there.</t>
        </is>
      </c>
      <c r="E26" s="8" t="n">
        <v>1</v>
      </c>
      <c r="F26" s="8" t="inlineStr"/>
    </row>
    <row r="27">
      <c r="A27" s="8" t="inlineStr">
        <is>
          <t>DISGUST</t>
        </is>
      </c>
      <c r="B27" s="8" t="inlineStr">
        <is>
          <t>The Aristocrat</t>
        </is>
      </c>
      <c r="C27" s="8" t="inlineStr">
        <is>
          <t>LOSING</t>
        </is>
      </c>
      <c r="D27" s="8" t="inlineStr">
        <is>
          <t>Don't touch me with those calloused hands!</t>
        </is>
      </c>
      <c r="E27" s="8" t="n">
        <v>1</v>
      </c>
      <c r="F27" s="8" t="inlineStr"/>
    </row>
    <row r="28">
      <c r="A28" s="8" t="inlineStr">
        <is>
          <t>DISGUST</t>
        </is>
      </c>
      <c r="B28" s="8" t="inlineStr">
        <is>
          <t>The Aristocrat</t>
        </is>
      </c>
      <c r="C28" s="8" t="inlineStr">
        <is>
          <t>DEFEAT</t>
        </is>
      </c>
      <c r="D28" s="8" t="inlineStr">
        <is>
          <t>Your smell... it won't wash off...</t>
        </is>
      </c>
      <c r="E28" s="8" t="n">
        <v>1</v>
      </c>
      <c r="F28" s="8" t="inlineStr"/>
    </row>
    <row r="29">
      <c r="A29" s="8" t="inlineStr">
        <is>
          <t>DISGUST</t>
        </is>
      </c>
      <c r="B29" s="8" t="inlineStr">
        <is>
          <t>The Apathetic</t>
        </is>
      </c>
      <c r="C29" s="8" t="inlineStr">
        <is>
          <t>INTRO</t>
        </is>
      </c>
      <c r="D29" s="8" t="inlineStr">
        <is>
          <t>Another addict blocking the ATM. Can't you just die somewhere out of sight?</t>
        </is>
      </c>
      <c r="E29" s="8" t="n">
        <v>1</v>
      </c>
      <c r="F29" s="8" t="inlineStr"/>
    </row>
    <row r="30">
      <c r="A30" s="8" t="inlineStr">
        <is>
          <t>DISGUST</t>
        </is>
      </c>
      <c r="B30" s="8" t="inlineStr">
        <is>
          <t>The Apathetic</t>
        </is>
      </c>
      <c r="C30" s="8" t="inlineStr">
        <is>
          <t>WINNING</t>
        </is>
      </c>
      <c r="D30" s="8" t="inlineStr">
        <is>
          <t>Scrape yourself off my shoes.</t>
        </is>
      </c>
      <c r="E30" s="8" t="n">
        <v>1</v>
      </c>
      <c r="F30" s="8" t="inlineStr"/>
    </row>
    <row r="31">
      <c r="A31" s="8" t="inlineStr">
        <is>
          <t>DISGUST</t>
        </is>
      </c>
      <c r="B31" s="8" t="inlineStr">
        <is>
          <t>The Apathetic</t>
        </is>
      </c>
      <c r="C31" s="8" t="inlineStr">
        <is>
          <t>LOSING</t>
        </is>
      </c>
      <c r="D31" s="8" t="inlineStr">
        <is>
          <t>Don't bleed on my designer coat!</t>
        </is>
      </c>
      <c r="E31" s="8" t="n">
        <v>1</v>
      </c>
      <c r="F31" s="8" t="inlineStr"/>
    </row>
    <row r="32">
      <c r="A32" s="8" t="inlineStr">
        <is>
          <t>DISGUST</t>
        </is>
      </c>
      <c r="B32" s="8" t="inlineStr">
        <is>
          <t>The Apathetic</t>
        </is>
      </c>
      <c r="C32" s="8" t="inlineStr">
        <is>
          <t>DEFEAT</t>
        </is>
      </c>
      <c r="D32" s="8" t="inlineStr">
        <is>
          <t>I am... better than this...</t>
        </is>
      </c>
      <c r="E32" s="8" t="n">
        <v>1</v>
      </c>
      <c r="F32" s="8" t="inlineStr"/>
    </row>
    <row r="33">
      <c r="A33" s="8" t="inlineStr">
        <is>
          <t>DISGUST</t>
        </is>
      </c>
      <c r="B33" s="8" t="inlineStr">
        <is>
          <t>The Xenophobe</t>
        </is>
      </c>
      <c r="C33" s="8" t="inlineStr">
        <is>
          <t>INTRO</t>
        </is>
      </c>
      <c r="D33" s="8" t="inlineStr">
        <is>
          <t>You come here, take our space, speak your garbage language. You make me sick.</t>
        </is>
      </c>
      <c r="E33" s="8" t="n">
        <v>1</v>
      </c>
      <c r="F33" s="8" t="inlineStr"/>
    </row>
    <row r="34">
      <c r="A34" s="8" t="inlineStr">
        <is>
          <t>DISGUST</t>
        </is>
      </c>
      <c r="B34" s="8" t="inlineStr">
        <is>
          <t>The Xenophobe</t>
        </is>
      </c>
      <c r="C34" s="8" t="inlineStr">
        <is>
          <t>WINNING</t>
        </is>
      </c>
      <c r="D34" s="8" t="inlineStr">
        <is>
          <t>Clean it up. That's all you're good for.</t>
        </is>
      </c>
      <c r="E34" s="8" t="n">
        <v>1</v>
      </c>
      <c r="F34" s="8" t="inlineStr"/>
    </row>
    <row r="35">
      <c r="A35" s="8" t="inlineStr">
        <is>
          <t>DISGUST</t>
        </is>
      </c>
      <c r="B35" s="8" t="inlineStr">
        <is>
          <t>The Xenophobe</t>
        </is>
      </c>
      <c r="C35" s="8" t="inlineStr">
        <is>
          <t>LOSING</t>
        </is>
      </c>
      <c r="D35" s="8" t="inlineStr">
        <is>
          <t>How dare you speak back to me?!</t>
        </is>
      </c>
      <c r="E35" s="8" t="n">
        <v>1</v>
      </c>
      <c r="F35" s="8" t="inlineStr"/>
    </row>
    <row r="36">
      <c r="A36" s="8" t="inlineStr">
        <is>
          <t>DISGUST</t>
        </is>
      </c>
      <c r="B36" s="8" t="inlineStr">
        <is>
          <t>The Xenophobe</t>
        </is>
      </c>
      <c r="C36" s="8" t="inlineStr">
        <is>
          <t>DEFEAT</t>
        </is>
      </c>
      <c r="D36" s="8" t="inlineStr">
        <is>
          <t>This isn't... your home...</t>
        </is>
      </c>
      <c r="E36" s="8" t="n">
        <v>1</v>
      </c>
      <c r="F36" s="8" t="inlineStr"/>
    </row>
    <row r="37">
      <c r="A37" s="8" t="inlineStr">
        <is>
          <t>DISGUST</t>
        </is>
      </c>
      <c r="B37" s="8" t="inlineStr">
        <is>
          <t>The Purist</t>
        </is>
      </c>
      <c r="C37" s="8" t="inlineStr">
        <is>
          <t>INTRO</t>
        </is>
      </c>
      <c r="D37" s="8" t="inlineStr">
        <is>
          <t>Plastic faces, fake lips, empty heads. You're a walking infection in this club.</t>
        </is>
      </c>
      <c r="E37" s="8" t="n">
        <v>1</v>
      </c>
      <c r="F37" s="8" t="inlineStr"/>
    </row>
    <row r="38">
      <c r="A38" s="8" t="inlineStr">
        <is>
          <t>DISGUST</t>
        </is>
      </c>
      <c r="B38" s="8" t="inlineStr">
        <is>
          <t>The Purist</t>
        </is>
      </c>
      <c r="C38" s="8" t="inlineStr">
        <is>
          <t>WINNING</t>
        </is>
      </c>
      <c r="D38" s="8" t="inlineStr">
        <is>
          <t>Choke on your vanity.</t>
        </is>
      </c>
      <c r="E38" s="8" t="n">
        <v>1</v>
      </c>
      <c r="F38" s="8" t="inlineStr"/>
    </row>
    <row r="39">
      <c r="A39" s="8" t="inlineStr">
        <is>
          <t>DISGUST</t>
        </is>
      </c>
      <c r="B39" s="8" t="inlineStr">
        <is>
          <t>The Purist</t>
        </is>
      </c>
      <c r="C39" s="8" t="inlineStr">
        <is>
          <t>LOSING</t>
        </is>
      </c>
      <c r="D39" s="8" t="inlineStr">
        <is>
          <t>Get your cheap perfume away from me.</t>
        </is>
      </c>
      <c r="E39" s="8" t="n">
        <v>1</v>
      </c>
      <c r="F39" s="8" t="inlineStr"/>
    </row>
    <row r="40">
      <c r="A40" s="8" t="inlineStr">
        <is>
          <t>DISGUST</t>
        </is>
      </c>
      <c r="B40" s="8" t="inlineStr">
        <is>
          <t>The Purist</t>
        </is>
      </c>
      <c r="C40" s="8" t="inlineStr">
        <is>
          <t>DEFEAT</t>
        </is>
      </c>
      <c r="D40" s="8" t="inlineStr">
        <is>
          <t>It's all so... hollow...</t>
        </is>
      </c>
      <c r="E40" s="8" t="n">
        <v>1</v>
      </c>
      <c r="F40" s="8" t="inlineStr"/>
    </row>
    <row r="41">
      <c r="A41" s="8" t="inlineStr">
        <is>
          <t>DISGUST</t>
        </is>
      </c>
      <c r="B41" s="8" t="inlineStr">
        <is>
          <t>The Mirror</t>
        </is>
      </c>
      <c r="C41" s="8" t="inlineStr">
        <is>
          <t>INTRO</t>
        </is>
      </c>
      <c r="D41" s="8" t="inlineStr">
        <is>
          <t>I see the track marks under your sleeves. You're rotting from the inside, just like me.</t>
        </is>
      </c>
      <c r="E41" s="8" t="n">
        <v>1</v>
      </c>
      <c r="F41" s="8" t="inlineStr"/>
    </row>
    <row r="42">
      <c r="A42" s="8" t="inlineStr">
        <is>
          <t>DISGUST</t>
        </is>
      </c>
      <c r="B42" s="8" t="inlineStr">
        <is>
          <t>The Mirror</t>
        </is>
      </c>
      <c r="C42" s="8" t="inlineStr">
        <is>
          <t>WINNING</t>
        </is>
      </c>
      <c r="D42" s="8" t="inlineStr">
        <is>
          <t>We belong in the gutter. Accept it.</t>
        </is>
      </c>
      <c r="E42" s="8" t="n">
        <v>1</v>
      </c>
      <c r="F42" s="8" t="inlineStr"/>
    </row>
    <row r="43">
      <c r="A43" s="8" t="inlineStr">
        <is>
          <t>DISGUST</t>
        </is>
      </c>
      <c r="B43" s="8" t="inlineStr">
        <is>
          <t>The Mirror</t>
        </is>
      </c>
      <c r="C43" s="8" t="inlineStr">
        <is>
          <t>LOSING</t>
        </is>
      </c>
      <c r="D43" s="8" t="inlineStr">
        <is>
          <t>Don't look at me with pity!</t>
        </is>
      </c>
      <c r="E43" s="8" t="n">
        <v>1</v>
      </c>
      <c r="F43" s="8" t="inlineStr"/>
    </row>
    <row r="44">
      <c r="A44" s="8" t="inlineStr">
        <is>
          <t>DISGUST</t>
        </is>
      </c>
      <c r="B44" s="8" t="inlineStr">
        <is>
          <t>The Mirror</t>
        </is>
      </c>
      <c r="C44" s="8" t="inlineStr">
        <is>
          <t>DEFEAT</t>
        </is>
      </c>
      <c r="D44" s="8" t="inlineStr">
        <is>
          <t>Just... one more hit to make it stop...</t>
        </is>
      </c>
      <c r="E44" s="8" t="n">
        <v>1</v>
      </c>
      <c r="F44" s="8" t="inlineStr"/>
    </row>
    <row r="45">
      <c r="A45" s="8" t="inlineStr">
        <is>
          <t>SADNESS</t>
        </is>
      </c>
      <c r="B45" s="8" t="inlineStr">
        <is>
          <t>The Left Behind</t>
        </is>
      </c>
      <c r="C45" s="8" t="inlineStr">
        <is>
          <t>INTRO</t>
        </is>
      </c>
      <c r="D45" s="8" t="inlineStr">
        <is>
          <t>No. Dad didn't leave. Dad loves me... Loved me?</t>
        </is>
      </c>
      <c r="E45" s="8" t="n">
        <v>1</v>
      </c>
      <c r="F45" s="8" t="inlineStr"/>
    </row>
    <row r="46">
      <c r="A46" s="8" t="inlineStr">
        <is>
          <t>SADNESS</t>
        </is>
      </c>
      <c r="B46" s="8" t="inlineStr">
        <is>
          <t>The Left Behind</t>
        </is>
      </c>
      <c r="C46" s="8" t="inlineStr">
        <is>
          <t>WINNING</t>
        </is>
      </c>
      <c r="D46" s="8" t="inlineStr">
        <is>
          <t>I'll make you stay! Nobody leaves me again!</t>
        </is>
      </c>
      <c r="E46" s="8" t="n">
        <v>1</v>
      </c>
      <c r="F46" s="8" t="inlineStr"/>
    </row>
    <row r="47">
      <c r="A47" s="8" t="inlineStr">
        <is>
          <t>SADNESS</t>
        </is>
      </c>
      <c r="B47" s="8" t="inlineStr">
        <is>
          <t>The Left Behind</t>
        </is>
      </c>
      <c r="C47" s="8" t="inlineStr">
        <is>
          <t>LOSING</t>
        </is>
      </c>
      <c r="D47" s="8" t="inlineStr">
        <is>
          <t>Did I do something wrong?</t>
        </is>
      </c>
      <c r="E47" s="8" t="n">
        <v>1</v>
      </c>
      <c r="F47" s="8" t="inlineStr"/>
    </row>
    <row r="48">
      <c r="A48" s="8" t="inlineStr">
        <is>
          <t>SADNESS</t>
        </is>
      </c>
      <c r="B48" s="8" t="inlineStr">
        <is>
          <t>The Left Behind</t>
        </is>
      </c>
      <c r="C48" s="8" t="inlineStr">
        <is>
          <t>DEFEAT</t>
        </is>
      </c>
      <c r="D48" s="8" t="inlineStr">
        <is>
          <t>I'll be good... I promise I'll be good...</t>
        </is>
      </c>
      <c r="E48" s="8" t="n">
        <v>1</v>
      </c>
      <c r="F48" s="8" t="inlineStr"/>
    </row>
    <row r="49">
      <c r="A49" s="8" t="inlineStr">
        <is>
          <t>SADNESS</t>
        </is>
      </c>
      <c r="B49" s="8" t="inlineStr">
        <is>
          <t>The Isolated</t>
        </is>
      </c>
      <c r="C49" s="8" t="inlineStr">
        <is>
          <t>INTRO</t>
        </is>
      </c>
      <c r="D49" s="8" t="inlineStr">
        <is>
          <t>The hospital called. Nobody came to claim his things. Am I next?</t>
        </is>
      </c>
      <c r="E49" s="8" t="n">
        <v>1</v>
      </c>
      <c r="F49" s="8" t="inlineStr"/>
    </row>
    <row r="50">
      <c r="A50" s="8" t="inlineStr">
        <is>
          <t>SADNESS</t>
        </is>
      </c>
      <c r="B50" s="8" t="inlineStr">
        <is>
          <t>The Isolated</t>
        </is>
      </c>
      <c r="C50" s="8" t="inlineStr">
        <is>
          <t>WINNING</t>
        </is>
      </c>
      <c r="D50" s="8" t="inlineStr">
        <is>
          <t>If you stay down... it hurts less. I promise.</t>
        </is>
      </c>
      <c r="E50" s="8" t="n">
        <v>1</v>
      </c>
      <c r="F50" s="8" t="inlineStr"/>
    </row>
    <row r="51">
      <c r="A51" s="8" t="inlineStr">
        <is>
          <t>SADNESS</t>
        </is>
      </c>
      <c r="B51" s="8" t="inlineStr">
        <is>
          <t>The Isolated</t>
        </is>
      </c>
      <c r="C51" s="8" t="inlineStr">
        <is>
          <t>LOSING</t>
        </is>
      </c>
      <c r="D51" s="8" t="inlineStr">
        <is>
          <t>Why does everyone walk away?</t>
        </is>
      </c>
      <c r="E51" s="8" t="n">
        <v>1</v>
      </c>
      <c r="F51" s="8" t="inlineStr"/>
    </row>
    <row r="52">
      <c r="A52" s="8" t="inlineStr">
        <is>
          <t>SADNESS</t>
        </is>
      </c>
      <c r="B52" s="8" t="inlineStr">
        <is>
          <t>The Isolated</t>
        </is>
      </c>
      <c r="C52" s="8" t="inlineStr">
        <is>
          <t>DEFEAT</t>
        </is>
      </c>
      <c r="D52" s="8" t="inlineStr">
        <is>
          <t>Finally... it's quiet.</t>
        </is>
      </c>
      <c r="E52" s="8" t="n">
        <v>1</v>
      </c>
      <c r="F52" s="8" t="inlineStr"/>
    </row>
    <row r="53">
      <c r="A53" s="8" t="inlineStr">
        <is>
          <t>SADNESS</t>
        </is>
      </c>
      <c r="B53" s="8" t="inlineStr">
        <is>
          <t>The Erased</t>
        </is>
      </c>
      <c r="C53" s="8" t="inlineStr">
        <is>
          <t>INTRO</t>
        </is>
      </c>
      <c r="D53" s="8" t="inlineStr">
        <is>
          <t>My grandfather built this bar. Now it's a fucking brunch spot... I have nothing.</t>
        </is>
      </c>
      <c r="E53" s="8" t="n">
        <v>1</v>
      </c>
      <c r="F53" s="8" t="inlineStr"/>
    </row>
    <row r="54">
      <c r="A54" s="8" t="inlineStr">
        <is>
          <t>SADNESS</t>
        </is>
      </c>
      <c r="B54" s="8" t="inlineStr">
        <is>
          <t>The Erased</t>
        </is>
      </c>
      <c r="C54" s="8" t="inlineStr">
        <is>
          <t>WINNING</t>
        </is>
      </c>
      <c r="D54" s="8" t="inlineStr">
        <is>
          <t>Drink the bitterness. It's all we have left.</t>
        </is>
      </c>
      <c r="E54" s="8" t="n">
        <v>1</v>
      </c>
      <c r="F54" s="8" t="inlineStr"/>
    </row>
    <row r="55">
      <c r="A55" s="8" t="inlineStr">
        <is>
          <t>SADNESS</t>
        </is>
      </c>
      <c r="B55" s="8" t="inlineStr">
        <is>
          <t>The Erased</t>
        </is>
      </c>
      <c r="C55" s="8" t="inlineStr">
        <is>
          <t>LOSING</t>
        </is>
      </c>
      <c r="D55" s="8" t="inlineStr">
        <is>
          <t>They're painting over the mural...</t>
        </is>
      </c>
      <c r="E55" s="8" t="n">
        <v>1</v>
      </c>
      <c r="F55" s="8" t="inlineStr"/>
    </row>
    <row r="56">
      <c r="A56" s="8" t="inlineStr">
        <is>
          <t>SADNESS</t>
        </is>
      </c>
      <c r="B56" s="8" t="inlineStr">
        <is>
          <t>The Erased</t>
        </is>
      </c>
      <c r="C56" s="8" t="inlineStr">
        <is>
          <t>DEFEAT</t>
        </is>
      </c>
      <c r="D56" s="8" t="inlineStr">
        <is>
          <t>I don't recognize my own street.</t>
        </is>
      </c>
      <c r="E56" s="8" t="n">
        <v>1</v>
      </c>
      <c r="F56" s="8" t="inlineStr"/>
    </row>
    <row r="57">
      <c r="A57" s="8" t="inlineStr">
        <is>
          <t>SADNESS</t>
        </is>
      </c>
      <c r="B57" s="8" t="inlineStr">
        <is>
          <t>The Grieving</t>
        </is>
      </c>
      <c r="C57" s="8" t="inlineStr">
        <is>
          <t>INTRO</t>
        </is>
      </c>
      <c r="D57" s="8" t="inlineStr">
        <is>
          <t>The sea was supposed to be calm... they promised it was safe to cross...</t>
        </is>
      </c>
      <c r="E57" s="8" t="n">
        <v>1</v>
      </c>
      <c r="F57" s="8" t="inlineStr"/>
    </row>
    <row r="58">
      <c r="A58" s="8" t="inlineStr">
        <is>
          <t>SADNESS</t>
        </is>
      </c>
      <c r="B58" s="8" t="inlineStr">
        <is>
          <t>The Grieving</t>
        </is>
      </c>
      <c r="C58" s="8" t="inlineStr">
        <is>
          <t>WINNING</t>
        </is>
      </c>
      <c r="D58" s="8" t="inlineStr">
        <is>
          <t>Drown with me! Drown with my memories!</t>
        </is>
      </c>
      <c r="E58" s="8" t="n">
        <v>1</v>
      </c>
      <c r="F58" s="8" t="inlineStr"/>
    </row>
    <row r="59">
      <c r="A59" s="8" t="inlineStr">
        <is>
          <t>SADNESS</t>
        </is>
      </c>
      <c r="B59" s="8" t="inlineStr">
        <is>
          <t>The Grieving</t>
        </is>
      </c>
      <c r="C59" s="8" t="inlineStr">
        <is>
          <t>LOSING</t>
        </is>
      </c>
      <c r="D59" s="8" t="inlineStr">
        <is>
          <t>I can't hold on to the raft...</t>
        </is>
      </c>
      <c r="E59" s="8" t="n">
        <v>1</v>
      </c>
      <c r="F59" s="8" t="inlineStr"/>
    </row>
    <row r="60">
      <c r="A60" s="8" t="inlineStr">
        <is>
          <t>SADNESS</t>
        </is>
      </c>
      <c r="B60" s="8" t="inlineStr">
        <is>
          <t>The Grieving</t>
        </is>
      </c>
      <c r="C60" s="8" t="inlineStr">
        <is>
          <t>DEFEAT</t>
        </is>
      </c>
      <c r="D60" s="8" t="inlineStr">
        <is>
          <t>The water is so cold...</t>
        </is>
      </c>
      <c r="E60" s="8" t="n">
        <v>1</v>
      </c>
      <c r="F60" s="8" t="inlineStr"/>
    </row>
    <row r="61">
      <c r="A61" s="8" t="inlineStr">
        <is>
          <t>SADNESS</t>
        </is>
      </c>
      <c r="B61" s="8" t="inlineStr">
        <is>
          <t>The Broken Dream</t>
        </is>
      </c>
      <c r="C61" s="8" t="inlineStr">
        <is>
          <t>INTRO</t>
        </is>
      </c>
      <c r="D61" s="8" t="inlineStr">
        <is>
          <t>Ten years playing in the metro... nobody even looks up anymore.</t>
        </is>
      </c>
      <c r="E61" s="8" t="n">
        <v>1</v>
      </c>
      <c r="F61" s="8" t="inlineStr"/>
    </row>
    <row r="62">
      <c r="A62" s="8" t="inlineStr">
        <is>
          <t>SADNESS</t>
        </is>
      </c>
      <c r="B62" s="8" t="inlineStr">
        <is>
          <t>The Broken Dream</t>
        </is>
      </c>
      <c r="C62" s="8" t="inlineStr">
        <is>
          <t>WINNING</t>
        </is>
      </c>
      <c r="D62" s="8" t="inlineStr">
        <is>
          <t>LISTEN TO ME! FOR ONCE IN YOUR LIFE!</t>
        </is>
      </c>
      <c r="E62" s="8" t="n">
        <v>1</v>
      </c>
      <c r="F62" s="8" t="inlineStr"/>
    </row>
    <row r="63">
      <c r="A63" s="8" t="inlineStr">
        <is>
          <t>SADNESS</t>
        </is>
      </c>
      <c r="B63" s="8" t="inlineStr">
        <is>
          <t>The Broken Dream</t>
        </is>
      </c>
      <c r="C63" s="8" t="inlineStr">
        <is>
          <t>LOSING</t>
        </is>
      </c>
      <c r="D63" s="8" t="inlineStr">
        <is>
          <t>My strings are snapping...</t>
        </is>
      </c>
      <c r="E63" s="8" t="n">
        <v>1</v>
      </c>
      <c r="F63" s="8" t="inlineStr"/>
    </row>
    <row r="64">
      <c r="A64" s="8" t="inlineStr">
        <is>
          <t>SADNESS</t>
        </is>
      </c>
      <c r="B64" s="8" t="inlineStr">
        <is>
          <t>The Broken Dream</t>
        </is>
      </c>
      <c r="C64" s="8" t="inlineStr">
        <is>
          <t>DEFEAT</t>
        </is>
      </c>
      <c r="D64" s="8" t="inlineStr">
        <is>
          <t>Silence... just like always.</t>
        </is>
      </c>
      <c r="E64" s="8" t="n">
        <v>1</v>
      </c>
      <c r="F64" s="8" t="inlineStr"/>
    </row>
    <row r="65">
      <c r="A65" s="8" t="inlineStr">
        <is>
          <t>FEAR</t>
        </is>
      </c>
      <c r="B65" s="8" t="inlineStr">
        <is>
          <t>The Hunted</t>
        </is>
      </c>
      <c r="C65" s="8" t="inlineStr">
        <is>
          <t>INTRO</t>
        </is>
      </c>
      <c r="D65" s="8" t="inlineStr">
        <is>
          <t>Shhhh shhhhhhhhh! Those transphobes behind the corner, they'll notice us, move back slowly... oh no OH NO</t>
        </is>
      </c>
      <c r="E65" s="8" t="n">
        <v>1</v>
      </c>
      <c r="F65" s="8" t="inlineStr"/>
    </row>
    <row r="66">
      <c r="A66" s="8" t="inlineStr">
        <is>
          <t>FEAR</t>
        </is>
      </c>
      <c r="B66" s="8" t="inlineStr">
        <is>
          <t>The Hunted</t>
        </is>
      </c>
      <c r="C66" s="8" t="inlineStr">
        <is>
          <t>WINNING</t>
        </is>
      </c>
      <c r="D66" s="8" t="inlineStr">
        <is>
          <t>STAY BACK! I HAVE A KNIFE!</t>
        </is>
      </c>
      <c r="E66" s="8" t="n">
        <v>1</v>
      </c>
      <c r="F66" s="8" t="inlineStr"/>
    </row>
    <row r="67">
      <c r="A67" s="8" t="inlineStr">
        <is>
          <t>FEAR</t>
        </is>
      </c>
      <c r="B67" s="8" t="inlineStr">
        <is>
          <t>The Hunted</t>
        </is>
      </c>
      <c r="C67" s="8" t="inlineStr">
        <is>
          <t>LOSING</t>
        </is>
      </c>
      <c r="D67" s="8" t="inlineStr">
        <is>
          <t>Please, I just want to walk home...</t>
        </is>
      </c>
      <c r="E67" s="8" t="n">
        <v>1</v>
      </c>
      <c r="F67" s="8" t="inlineStr"/>
    </row>
    <row r="68">
      <c r="A68" s="8" t="inlineStr">
        <is>
          <t>FEAR</t>
        </is>
      </c>
      <c r="B68" s="8" t="inlineStr">
        <is>
          <t>The Hunted</t>
        </is>
      </c>
      <c r="C68" s="8" t="inlineStr">
        <is>
          <t>DEFEAT</t>
        </is>
      </c>
      <c r="D68" s="8" t="inlineStr">
        <is>
          <t>Not again... please not again...</t>
        </is>
      </c>
      <c r="E68" s="8" t="n">
        <v>1</v>
      </c>
      <c r="F68" s="8" t="inlineStr"/>
    </row>
    <row r="69">
      <c r="A69" s="8" t="inlineStr">
        <is>
          <t>FEAR</t>
        </is>
      </c>
      <c r="B69" s="8" t="inlineStr">
        <is>
          <t>The Paranoid</t>
        </is>
      </c>
      <c r="C69" s="8" t="inlineStr">
        <is>
          <t>INTRO</t>
        </is>
      </c>
      <c r="D69" s="8" t="inlineStr">
        <is>
          <t>The cameras on the streetlights—they track our heartbeats. Don't let them see you panic!</t>
        </is>
      </c>
      <c r="E69" s="8" t="n">
        <v>1</v>
      </c>
      <c r="F69" s="8" t="inlineStr"/>
    </row>
    <row r="70">
      <c r="A70" s="8" t="inlineStr">
        <is>
          <t>FEAR</t>
        </is>
      </c>
      <c r="B70" s="8" t="inlineStr">
        <is>
          <t>The Paranoid</t>
        </is>
      </c>
      <c r="C70" s="8" t="inlineStr">
        <is>
          <t>WINNING</t>
        </is>
      </c>
      <c r="D70" s="8" t="inlineStr">
        <is>
          <t>I'll blind them! I'LL BLIND THE WHOLE CITY!</t>
        </is>
      </c>
      <c r="E70" s="8" t="n">
        <v>1</v>
      </c>
      <c r="F70" s="8" t="inlineStr"/>
    </row>
    <row r="71">
      <c r="A71" s="8" t="inlineStr">
        <is>
          <t>FEAR</t>
        </is>
      </c>
      <c r="B71" s="8" t="inlineStr">
        <is>
          <t>The Paranoid</t>
        </is>
      </c>
      <c r="C71" s="8" t="inlineStr">
        <is>
          <t>LOSING</t>
        </is>
      </c>
      <c r="D71" s="8" t="inlineStr">
        <is>
          <t>They're zooming in... they know my name...</t>
        </is>
      </c>
      <c r="E71" s="8" t="n">
        <v>1</v>
      </c>
      <c r="F71" s="8" t="inlineStr"/>
    </row>
    <row r="72">
      <c r="A72" s="8" t="inlineStr">
        <is>
          <t>FEAR</t>
        </is>
      </c>
      <c r="B72" s="8" t="inlineStr">
        <is>
          <t>The Paranoid</t>
        </is>
      </c>
      <c r="C72" s="8" t="inlineStr">
        <is>
          <t>DEFEAT</t>
        </is>
      </c>
      <c r="D72" s="8" t="inlineStr">
        <is>
          <t>Erase my... search history...</t>
        </is>
      </c>
      <c r="E72" s="8" t="n">
        <v>1</v>
      </c>
      <c r="F72" s="8" t="inlineStr"/>
    </row>
    <row r="73">
      <c r="A73" s="8" t="inlineStr">
        <is>
          <t>FEAR</t>
        </is>
      </c>
      <c r="B73" s="8" t="inlineStr">
        <is>
          <t>The Debt-Ridden</t>
        </is>
      </c>
      <c r="C73" s="8" t="inlineStr">
        <is>
          <t>INTRO</t>
        </is>
      </c>
      <c r="D73" s="8" t="inlineStr">
        <is>
          <t>I have the money, I swear! Just give me till Friday!</t>
        </is>
      </c>
      <c r="E73" s="8" t="n">
        <v>1</v>
      </c>
      <c r="F73" s="8" t="inlineStr"/>
    </row>
    <row r="74">
      <c r="A74" s="8" t="inlineStr">
        <is>
          <t>FEAR</t>
        </is>
      </c>
      <c r="B74" s="8" t="inlineStr">
        <is>
          <t>The Debt-Ridden</t>
        </is>
      </c>
      <c r="C74" s="8" t="inlineStr">
        <is>
          <t>WINNING</t>
        </is>
      </c>
      <c r="D74" s="8" t="inlineStr">
        <is>
          <t>I'll take yours! I'll pay them with your blood!</t>
        </is>
      </c>
      <c r="E74" s="8" t="n">
        <v>1</v>
      </c>
      <c r="F74" s="8" t="inlineStr"/>
    </row>
    <row r="75">
      <c r="A75" s="8" t="inlineStr">
        <is>
          <t>FEAR</t>
        </is>
      </c>
      <c r="B75" s="8" t="inlineStr">
        <is>
          <t>The Debt-Ridden</t>
        </is>
      </c>
      <c r="C75" s="8" t="inlineStr">
        <is>
          <t>LOSING</t>
        </is>
      </c>
      <c r="D75" s="8" t="inlineStr">
        <is>
          <t>They're going to break my hands...</t>
        </is>
      </c>
      <c r="E75" s="8" t="n">
        <v>1</v>
      </c>
      <c r="F75" s="8" t="inlineStr"/>
    </row>
    <row r="76">
      <c r="A76" s="8" t="inlineStr">
        <is>
          <t>FEAR</t>
        </is>
      </c>
      <c r="B76" s="8" t="inlineStr">
        <is>
          <t>The Debt-Ridden</t>
        </is>
      </c>
      <c r="C76" s="8" t="inlineStr">
        <is>
          <t>DEFEAT</t>
        </is>
      </c>
      <c r="D76" s="8" t="inlineStr">
        <is>
          <t>Tell my mother... I'm sorry...</t>
        </is>
      </c>
      <c r="E76" s="8" t="n">
        <v>1</v>
      </c>
      <c r="F76" s="8" t="inlineStr"/>
    </row>
    <row r="77">
      <c r="A77" s="8" t="inlineStr">
        <is>
          <t>FEAR</t>
        </is>
      </c>
      <c r="B77" s="8" t="inlineStr">
        <is>
          <t>The Trapped</t>
        </is>
      </c>
      <c r="C77" s="8" t="inlineStr">
        <is>
          <t>INTRO</t>
        </is>
      </c>
      <c r="D77" s="8" t="inlineStr">
        <is>
          <t>He said he wouldn't hit me again if I just stayed quiet...</t>
        </is>
      </c>
      <c r="E77" s="8" t="n">
        <v>1</v>
      </c>
      <c r="F77" s="8" t="inlineStr"/>
    </row>
    <row r="78">
      <c r="A78" s="8" t="inlineStr">
        <is>
          <t>FEAR</t>
        </is>
      </c>
      <c r="B78" s="8" t="inlineStr">
        <is>
          <t>The Trapped</t>
        </is>
      </c>
      <c r="C78" s="8" t="inlineStr">
        <is>
          <t>WINNING</t>
        </is>
      </c>
      <c r="D78" s="8" t="inlineStr">
        <is>
          <t>Don't make him angry! Just do what he says!</t>
        </is>
      </c>
      <c r="E78" s="8" t="n">
        <v>1</v>
      </c>
      <c r="F78" s="8" t="inlineStr"/>
    </row>
    <row r="79">
      <c r="A79" s="8" t="inlineStr">
        <is>
          <t>FEAR</t>
        </is>
      </c>
      <c r="B79" s="8" t="inlineStr">
        <is>
          <t>The Trapped</t>
        </is>
      </c>
      <c r="C79" s="8" t="inlineStr">
        <is>
          <t>LOSING</t>
        </is>
      </c>
      <c r="D79" s="8" t="inlineStr">
        <is>
          <t>He's coming up the stairs... I can hear his keys...</t>
        </is>
      </c>
      <c r="E79" s="8" t="n">
        <v>1</v>
      </c>
      <c r="F79" s="8" t="inlineStr"/>
    </row>
    <row r="80">
      <c r="A80" s="8" t="inlineStr">
        <is>
          <t>FEAR</t>
        </is>
      </c>
      <c r="B80" s="8" t="inlineStr">
        <is>
          <t>The Trapped</t>
        </is>
      </c>
      <c r="C80" s="8" t="inlineStr">
        <is>
          <t>DEFEAT</t>
        </is>
      </c>
      <c r="D80" s="8" t="inlineStr">
        <is>
          <t>It was always going to end like this...</t>
        </is>
      </c>
      <c r="E80" s="8" t="n">
        <v>1</v>
      </c>
      <c r="F80" s="8" t="inlineStr"/>
    </row>
    <row r="81">
      <c r="A81" s="8" t="inlineStr">
        <is>
          <t>FEAR</t>
        </is>
      </c>
      <c r="B81" s="8" t="inlineStr">
        <is>
          <t>The Night-Walker</t>
        </is>
      </c>
      <c r="C81" s="8" t="inlineStr">
        <is>
          <t>INTRO</t>
        </is>
      </c>
      <c r="D81" s="8" t="inlineStr">
        <is>
          <t>Footsteps. Stop. Footsteps. Why are they matching my pace?</t>
        </is>
      </c>
      <c r="E81" s="8" t="n">
        <v>1</v>
      </c>
      <c r="F81" s="8" t="inlineStr"/>
    </row>
    <row r="82">
      <c r="A82" s="8" t="inlineStr">
        <is>
          <t>FEAR</t>
        </is>
      </c>
      <c r="B82" s="8" t="inlineStr">
        <is>
          <t>The Night-Walker</t>
        </is>
      </c>
      <c r="C82" s="8" t="inlineStr">
        <is>
          <t>WINNING</t>
        </is>
      </c>
      <c r="D82" s="8" t="inlineStr">
        <is>
          <t>I'll run! You can't catch me in the dark!</t>
        </is>
      </c>
      <c r="E82" s="8" t="n">
        <v>1</v>
      </c>
      <c r="F82" s="8" t="inlineStr"/>
    </row>
    <row r="83">
      <c r="A83" s="8" t="inlineStr">
        <is>
          <t>FEAR</t>
        </is>
      </c>
      <c r="B83" s="8" t="inlineStr">
        <is>
          <t>The Night-Walker</t>
        </is>
      </c>
      <c r="C83" s="8" t="inlineStr">
        <is>
          <t>LOSING</t>
        </is>
      </c>
      <c r="D83" s="8" t="inlineStr">
        <is>
          <t>The streetlights are all broken here...</t>
        </is>
      </c>
      <c r="E83" s="8" t="n">
        <v>1</v>
      </c>
      <c r="F83" s="8" t="inlineStr"/>
    </row>
    <row r="84">
      <c r="A84" s="8" t="inlineStr">
        <is>
          <t>FEAR</t>
        </is>
      </c>
      <c r="B84" s="8" t="inlineStr">
        <is>
          <t>The Night-Walker</t>
        </is>
      </c>
      <c r="C84" s="8" t="inlineStr">
        <is>
          <t>DEFEAT</t>
        </is>
      </c>
      <c r="D84" s="8" t="inlineStr">
        <is>
          <t>Nobody can hear me scream...</t>
        </is>
      </c>
      <c r="E84" s="8" t="n">
        <v>1</v>
      </c>
      <c r="F84" s="8" t="inlineStr"/>
    </row>
    <row r="85">
      <c r="A85" s="8" t="inlineStr">
        <is>
          <t>JOY</t>
        </is>
      </c>
      <c r="B85" s="8" t="inlineStr">
        <is>
          <t>The Delusional</t>
        </is>
      </c>
      <c r="C85" s="8" t="inlineStr">
        <is>
          <t>INTRO</t>
        </is>
      </c>
      <c r="D85" s="8" t="inlineStr">
        <is>
          <t>Life is MINE and this street is MY world to strut by and BLIND YOU WITH MY LIGHT</t>
        </is>
      </c>
      <c r="E85" s="8" t="n">
        <v>1</v>
      </c>
      <c r="F85" s="8" t="inlineStr"/>
    </row>
    <row r="86">
      <c r="A86" s="8" t="inlineStr">
        <is>
          <t>JOY</t>
        </is>
      </c>
      <c r="B86" s="8" t="inlineStr">
        <is>
          <t>The Delusional</t>
        </is>
      </c>
      <c r="C86" s="8" t="inlineStr">
        <is>
          <t>WINNING</t>
        </is>
      </c>
      <c r="D86" s="8" t="inlineStr">
        <is>
          <t>Bask in my glory! I am untouched by sorrow!</t>
        </is>
      </c>
      <c r="E86" s="8" t="n">
        <v>1</v>
      </c>
      <c r="F86" s="8" t="inlineStr"/>
    </row>
    <row r="87">
      <c r="A87" s="8" t="inlineStr">
        <is>
          <t>JOY</t>
        </is>
      </c>
      <c r="B87" s="8" t="inlineStr">
        <is>
          <t>The Delusional</t>
        </is>
      </c>
      <c r="C87" s="8" t="inlineStr">
        <is>
          <t>LOSING</t>
        </is>
      </c>
      <c r="D87" s="8" t="inlineStr">
        <is>
          <t>Wait... why is everyone looking at me like that?</t>
        </is>
      </c>
      <c r="E87" s="8" t="n">
        <v>1</v>
      </c>
      <c r="F87" s="8" t="inlineStr"/>
    </row>
    <row r="88">
      <c r="A88" s="8" t="inlineStr">
        <is>
          <t>JOY</t>
        </is>
      </c>
      <c r="B88" s="8" t="inlineStr">
        <is>
          <t>The Delusional</t>
        </is>
      </c>
      <c r="C88" s="8" t="inlineStr">
        <is>
          <t>DEFEAT</t>
        </is>
      </c>
      <c r="D88" s="8" t="inlineStr">
        <is>
          <t>The spotlight... it's fading...</t>
        </is>
      </c>
      <c r="E88" s="8" t="n">
        <v>1</v>
      </c>
      <c r="F88" s="8" t="inlineStr"/>
    </row>
    <row r="89">
      <c r="A89" s="8" t="inlineStr">
        <is>
          <t>JOY</t>
        </is>
      </c>
      <c r="B89" s="8" t="inlineStr">
        <is>
          <t>The Substance Abuser</t>
        </is>
      </c>
      <c r="C89" s="8" t="inlineStr">
        <is>
          <t>INTRO</t>
        </is>
      </c>
      <c r="D89" s="8" t="inlineStr">
        <is>
          <t>Another pill, another party! The sun never sets in Raval if your eyes are wide enough!</t>
        </is>
      </c>
      <c r="E89" s="8" t="n">
        <v>1</v>
      </c>
      <c r="F89" s="8" t="inlineStr"/>
    </row>
    <row r="90">
      <c r="A90" s="8" t="inlineStr">
        <is>
          <t>JOY</t>
        </is>
      </c>
      <c r="B90" s="8" t="inlineStr">
        <is>
          <t>The Substance Abuser</t>
        </is>
      </c>
      <c r="C90" s="8" t="inlineStr">
        <is>
          <t>WINNING</t>
        </is>
      </c>
      <c r="D90" s="8" t="inlineStr">
        <is>
          <t>DANCE WITH ME! WHY AREN'T YOU DANCING?!</t>
        </is>
      </c>
      <c r="E90" s="8" t="n">
        <v>1</v>
      </c>
      <c r="F90" s="8" t="inlineStr"/>
    </row>
    <row r="91">
      <c r="A91" s="8" t="inlineStr">
        <is>
          <t>JOY</t>
        </is>
      </c>
      <c r="B91" s="8" t="inlineStr">
        <is>
          <t>The Substance Abuser</t>
        </is>
      </c>
      <c r="C91" s="8" t="inlineStr">
        <is>
          <t>LOSING</t>
        </is>
      </c>
      <c r="D91" s="8" t="inlineStr">
        <is>
          <t>No, no, the comedown... I can't feel my teeth...</t>
        </is>
      </c>
      <c r="E91" s="8" t="n">
        <v>1</v>
      </c>
      <c r="F91" s="8" t="inlineStr"/>
    </row>
    <row r="92">
      <c r="A92" s="8" t="inlineStr">
        <is>
          <t>JOY</t>
        </is>
      </c>
      <c r="B92" s="8" t="inlineStr">
        <is>
          <t>The Substance Abuser</t>
        </is>
      </c>
      <c r="C92" s="8" t="inlineStr">
        <is>
          <t>DEFEAT</t>
        </is>
      </c>
      <c r="D92" s="8" t="inlineStr">
        <is>
          <t>It's so dark... where did the music go?</t>
        </is>
      </c>
      <c r="E92" s="8" t="n">
        <v>1</v>
      </c>
      <c r="F92" s="8" t="inlineStr"/>
    </row>
    <row r="93">
      <c r="A93" s="8" t="inlineStr">
        <is>
          <t>JOY</t>
        </is>
      </c>
      <c r="B93" s="8" t="inlineStr">
        <is>
          <t>The Cultist</t>
        </is>
      </c>
      <c r="C93" s="8" t="inlineStr">
        <is>
          <t>INTRO</t>
        </is>
      </c>
      <c r="D93" s="8" t="inlineStr">
        <is>
          <t>We are all just vibrations! I have transcended this fleshy prison!</t>
        </is>
      </c>
      <c r="E93" s="8" t="n">
        <v>1</v>
      </c>
      <c r="F93" s="8" t="inlineStr"/>
    </row>
    <row r="94">
      <c r="A94" s="8" t="inlineStr">
        <is>
          <t>JOY</t>
        </is>
      </c>
      <c r="B94" s="8" t="inlineStr">
        <is>
          <t>The Cultist</t>
        </is>
      </c>
      <c r="C94" s="8" t="inlineStr">
        <is>
          <t>WINNING</t>
        </is>
      </c>
      <c r="D94" s="8" t="inlineStr">
        <is>
          <t>Let me cleanse your aura... WITH FIRE!</t>
        </is>
      </c>
      <c r="E94" s="8" t="n">
        <v>1</v>
      </c>
      <c r="F94" s="8" t="inlineStr"/>
    </row>
    <row r="95">
      <c r="A95" s="8" t="inlineStr">
        <is>
          <t>JOY</t>
        </is>
      </c>
      <c r="B95" s="8" t="inlineStr">
        <is>
          <t>The Cultist</t>
        </is>
      </c>
      <c r="C95" s="8" t="inlineStr">
        <is>
          <t>LOSING</t>
        </is>
      </c>
      <c r="D95" s="8" t="inlineStr">
        <is>
          <t>My chakras... they are bleeding...</t>
        </is>
      </c>
      <c r="E95" s="8" t="n">
        <v>1</v>
      </c>
      <c r="F95" s="8" t="inlineStr"/>
    </row>
    <row r="96">
      <c r="A96" s="8" t="inlineStr">
        <is>
          <t>JOY</t>
        </is>
      </c>
      <c r="B96" s="8" t="inlineStr">
        <is>
          <t>The Cultist</t>
        </is>
      </c>
      <c r="C96" s="8" t="inlineStr">
        <is>
          <t>DEFEAT</t>
        </is>
      </c>
      <c r="D96" s="8" t="inlineStr">
        <is>
          <t>The universe... lied to me...</t>
        </is>
      </c>
      <c r="E96" s="8" t="n">
        <v>1</v>
      </c>
      <c r="F96" s="8" t="inlineStr"/>
    </row>
    <row r="97">
      <c r="A97" s="8" t="inlineStr">
        <is>
          <t>JOY</t>
        </is>
      </c>
      <c r="B97" s="8" t="inlineStr">
        <is>
          <t>The Influencer</t>
        </is>
      </c>
      <c r="C97" s="8" t="inlineStr">
        <is>
          <t>INTRO</t>
        </is>
      </c>
      <c r="D97" s="8" t="inlineStr">
        <is>
          <t>A million followers, baby! Look at this view, look at this life!</t>
        </is>
      </c>
      <c r="E97" s="8" t="n">
        <v>1</v>
      </c>
      <c r="F97" s="8" t="inlineStr"/>
    </row>
    <row r="98">
      <c r="A98" s="8" t="inlineStr">
        <is>
          <t>JOY</t>
        </is>
      </c>
      <c r="B98" s="8" t="inlineStr">
        <is>
          <t>The Influencer</t>
        </is>
      </c>
      <c r="C98" s="8" t="inlineStr">
        <is>
          <t>WINNING</t>
        </is>
      </c>
      <c r="D98" s="8" t="inlineStr">
        <is>
          <t>SMILE FOR THE CAMERA, TRASH!</t>
        </is>
      </c>
      <c r="E98" s="8" t="n">
        <v>1</v>
      </c>
      <c r="F98" s="8" t="inlineStr"/>
    </row>
    <row r="99">
      <c r="A99" s="8" t="inlineStr">
        <is>
          <t>JOY</t>
        </is>
      </c>
      <c r="B99" s="8" t="inlineStr">
        <is>
          <t>The Influencer</t>
        </is>
      </c>
      <c r="C99" s="8" t="inlineStr">
        <is>
          <t>LOSING</t>
        </is>
      </c>
      <c r="D99" s="8" t="inlineStr">
        <is>
          <t>I'm losing sponsors... I'm losing relevance...</t>
        </is>
      </c>
      <c r="E99" s="8" t="n">
        <v>1</v>
      </c>
      <c r="F99" s="8" t="inlineStr"/>
    </row>
    <row r="100">
      <c r="A100" s="8" t="inlineStr">
        <is>
          <t>JOY</t>
        </is>
      </c>
      <c r="B100" s="8" t="inlineStr">
        <is>
          <t>The Influencer</t>
        </is>
      </c>
      <c r="C100" s="8" t="inlineStr">
        <is>
          <t>DEFEAT</t>
        </is>
      </c>
      <c r="D100" s="8" t="inlineStr">
        <is>
          <t>Did anybody... even like... the post?</t>
        </is>
      </c>
      <c r="E100" s="8" t="n">
        <v>1</v>
      </c>
      <c r="F100" s="8" t="inlineStr"/>
    </row>
    <row r="101">
      <c r="A101" s="8" t="inlineStr">
        <is>
          <t>JOY</t>
        </is>
      </c>
      <c r="B101" s="8" t="inlineStr">
        <is>
          <t>The Pyromaniac</t>
        </is>
      </c>
      <c r="C101" s="8" t="inlineStr">
        <is>
          <t>INTRO</t>
        </is>
      </c>
      <c r="D101" s="8" t="inlineStr">
        <is>
          <t>Look at how pretty the flames are on the dumpsters! It's art!</t>
        </is>
      </c>
      <c r="E101" s="8" t="n">
        <v>1</v>
      </c>
      <c r="F101" s="8" t="inlineStr"/>
    </row>
    <row r="102">
      <c r="A102" s="8" t="inlineStr">
        <is>
          <t>JOY</t>
        </is>
      </c>
      <c r="B102" s="8" t="inlineStr">
        <is>
          <t>The Pyromaniac</t>
        </is>
      </c>
      <c r="C102" s="8" t="inlineStr">
        <is>
          <t>WINNING</t>
        </is>
      </c>
      <c r="D102" s="8" t="inlineStr">
        <is>
          <t>BURN! EVERYTHING LOOKS BETTER IN RED!</t>
        </is>
      </c>
      <c r="E102" s="8" t="n">
        <v>1</v>
      </c>
      <c r="F102" s="8" t="inlineStr"/>
    </row>
    <row r="103">
      <c r="A103" s="8" t="inlineStr">
        <is>
          <t>JOY</t>
        </is>
      </c>
      <c r="B103" s="8" t="inlineStr">
        <is>
          <t>The Pyromaniac</t>
        </is>
      </c>
      <c r="C103" s="8" t="inlineStr">
        <is>
          <t>LOSING</t>
        </is>
      </c>
      <c r="D103" s="8" t="inlineStr">
        <is>
          <t>The smoke... I can't breathe...</t>
        </is>
      </c>
      <c r="E103" s="8" t="n">
        <v>1</v>
      </c>
      <c r="F103" s="8" t="inlineStr"/>
    </row>
    <row r="104">
      <c r="A104" s="8" t="inlineStr">
        <is>
          <t>JOY</t>
        </is>
      </c>
      <c r="B104" s="8" t="inlineStr">
        <is>
          <t>The Pyromaniac</t>
        </is>
      </c>
      <c r="C104" s="8" t="inlineStr">
        <is>
          <t>DEFEAT</t>
        </is>
      </c>
      <c r="D104" s="8" t="inlineStr">
        <is>
          <t>Just embers... cold, dead embers...</t>
        </is>
      </c>
      <c r="E104" s="8" t="n">
        <v>1</v>
      </c>
      <c r="F104" s="8" t="inlineStr"/>
    </row>
    <row r="105">
      <c r="A105" s="8" t="inlineStr">
        <is>
          <t>SURPRISE</t>
        </is>
      </c>
      <c r="B105" s="8" t="inlineStr">
        <is>
          <t>The Betrayed</t>
        </is>
      </c>
      <c r="C105" s="8" t="inlineStr">
        <is>
          <t>INTRO</t>
        </is>
      </c>
      <c r="D105" s="8" t="inlineStr">
        <is>
          <t>Yesss YESSSS give me that sweet sweet nectar GIVE IT... wait, what did you just inject me with?</t>
        </is>
      </c>
      <c r="E105" s="8" t="n">
        <v>1</v>
      </c>
      <c r="F105" s="8" t="inlineStr"/>
    </row>
    <row r="106">
      <c r="A106" s="8" t="inlineStr">
        <is>
          <t>SURPRISE</t>
        </is>
      </c>
      <c r="B106" s="8" t="inlineStr">
        <is>
          <t>The Betrayed</t>
        </is>
      </c>
      <c r="C106" s="8" t="inlineStr">
        <is>
          <t>WINNING</t>
        </is>
      </c>
      <c r="D106" s="8" t="inlineStr">
        <is>
          <t>I'LL TEAR THE POISON OUT OF YOUR CHEST!</t>
        </is>
      </c>
      <c r="E106" s="8" t="n">
        <v>1</v>
      </c>
      <c r="F106" s="8" t="inlineStr"/>
    </row>
    <row r="107">
      <c r="A107" s="8" t="inlineStr">
        <is>
          <t>SURPRISE</t>
        </is>
      </c>
      <c r="B107" s="8" t="inlineStr">
        <is>
          <t>The Betrayed</t>
        </is>
      </c>
      <c r="C107" s="8" t="inlineStr">
        <is>
          <t>LOSING</t>
        </is>
      </c>
      <c r="D107" s="8" t="inlineStr">
        <is>
          <t>My heart... it's beating too fast...</t>
        </is>
      </c>
      <c r="E107" s="8" t="n">
        <v>1</v>
      </c>
      <c r="F107" s="8" t="inlineStr"/>
    </row>
    <row r="108">
      <c r="A108" s="8" t="inlineStr">
        <is>
          <t>SURPRISE</t>
        </is>
      </c>
      <c r="B108" s="8" t="inlineStr">
        <is>
          <t>The Betrayed</t>
        </is>
      </c>
      <c r="C108" s="8" t="inlineStr">
        <is>
          <t>DEFEAT</t>
        </is>
      </c>
      <c r="D108" s="8" t="inlineStr">
        <is>
          <t>You... you killed me...</t>
        </is>
      </c>
      <c r="E108" s="8" t="n">
        <v>1</v>
      </c>
      <c r="F108" s="8" t="inlineStr"/>
    </row>
    <row r="109">
      <c r="A109" s="8" t="inlineStr">
        <is>
          <t>SURPRISE</t>
        </is>
      </c>
      <c r="B109" s="8" t="inlineStr">
        <is>
          <t>The Accident</t>
        </is>
      </c>
      <c r="C109" s="8" t="inlineStr">
        <is>
          <t>INTRO</t>
        </is>
      </c>
      <c r="D109" s="8" t="inlineStr">
        <is>
          <t>The light was green! I swear on my mother's life the light was green!</t>
        </is>
      </c>
      <c r="E109" s="8" t="n">
        <v>1</v>
      </c>
      <c r="F109" s="8" t="inlineStr"/>
    </row>
    <row r="110">
      <c r="A110" s="8" t="inlineStr">
        <is>
          <t>SURPRISE</t>
        </is>
      </c>
      <c r="B110" s="8" t="inlineStr">
        <is>
          <t>The Accident</t>
        </is>
      </c>
      <c r="C110" s="8" t="inlineStr">
        <is>
          <t>WINNING</t>
        </is>
      </c>
      <c r="D110" s="8" t="inlineStr">
        <is>
          <t>You see it too, right? The glass in my hair?</t>
        </is>
      </c>
      <c r="E110" s="8" t="n">
        <v>1</v>
      </c>
      <c r="F110" s="8" t="inlineStr"/>
    </row>
    <row r="111">
      <c r="A111" s="8" t="inlineStr">
        <is>
          <t>SURPRISE</t>
        </is>
      </c>
      <c r="B111" s="8" t="inlineStr">
        <is>
          <t>The Accident</t>
        </is>
      </c>
      <c r="C111" s="8" t="inlineStr">
        <is>
          <t>LOSING</t>
        </is>
      </c>
      <c r="D111" s="8" t="inlineStr">
        <is>
          <t>Why is the steering wheel bending like that?</t>
        </is>
      </c>
      <c r="E111" s="8" t="n">
        <v>1</v>
      </c>
      <c r="F111" s="8" t="inlineStr"/>
    </row>
    <row r="112">
      <c r="A112" s="8" t="inlineStr">
        <is>
          <t>SURPRISE</t>
        </is>
      </c>
      <c r="B112" s="8" t="inlineStr">
        <is>
          <t>The Accident</t>
        </is>
      </c>
      <c r="C112" s="8" t="inlineStr">
        <is>
          <t>DEFEAT</t>
        </is>
      </c>
      <c r="D112" s="8" t="inlineStr">
        <is>
          <t>I can't... feel my legs...</t>
        </is>
      </c>
      <c r="E112" s="8" t="n">
        <v>1</v>
      </c>
      <c r="F112" s="8" t="inlineStr"/>
    </row>
    <row r="113">
      <c r="A113" s="8" t="inlineStr">
        <is>
          <t>SURPRISE</t>
        </is>
      </c>
      <c r="B113" s="8" t="inlineStr">
        <is>
          <t>The Diagnosis</t>
        </is>
      </c>
      <c r="C113" s="8" t="inlineStr">
        <is>
          <t>INTRO</t>
        </is>
      </c>
      <c r="D113" s="8" t="inlineStr">
        <is>
          <t>Six months? You're joking, right? I ran a marathon yesterday...</t>
        </is>
      </c>
      <c r="E113" s="8" t="n">
        <v>1</v>
      </c>
      <c r="F113" s="8" t="inlineStr"/>
    </row>
    <row r="114">
      <c r="A114" s="8" t="inlineStr">
        <is>
          <t>SURPRISE</t>
        </is>
      </c>
      <c r="B114" s="8" t="inlineStr">
        <is>
          <t>The Diagnosis</t>
        </is>
      </c>
      <c r="C114" s="8" t="inlineStr">
        <is>
          <t>WINNING</t>
        </is>
      </c>
      <c r="D114" s="8" t="inlineStr">
        <is>
          <t>I'M NOT SICK! LOOK AT HOW STRONG I AM!</t>
        </is>
      </c>
      <c r="E114" s="8" t="n">
        <v>1</v>
      </c>
      <c r="F114" s="8" t="inlineStr"/>
    </row>
    <row r="115">
      <c r="A115" s="8" t="inlineStr">
        <is>
          <t>SURPRISE</t>
        </is>
      </c>
      <c r="B115" s="8" t="inlineStr">
        <is>
          <t>The Diagnosis</t>
        </is>
      </c>
      <c r="C115" s="8" t="inlineStr">
        <is>
          <t>LOSING</t>
        </is>
      </c>
      <c r="D115" s="8" t="inlineStr">
        <is>
          <t>Why am I coughing blood...?</t>
        </is>
      </c>
      <c r="E115" s="8" t="n">
        <v>1</v>
      </c>
      <c r="F115" s="8" t="inlineStr"/>
    </row>
    <row r="116">
      <c r="A116" s="8" t="inlineStr">
        <is>
          <t>SURPRISE</t>
        </is>
      </c>
      <c r="B116" s="8" t="inlineStr">
        <is>
          <t>The Diagnosis</t>
        </is>
      </c>
      <c r="C116" s="8" t="inlineStr">
        <is>
          <t>DEFEAT</t>
        </is>
      </c>
      <c r="D116" s="8" t="inlineStr">
        <is>
          <t>I don't have enough time...</t>
        </is>
      </c>
      <c r="E116" s="8" t="n">
        <v>1</v>
      </c>
      <c r="F116" s="8" t="inlineStr"/>
    </row>
    <row r="117">
      <c r="A117" s="8" t="inlineStr">
        <is>
          <t>SURPRISE</t>
        </is>
      </c>
      <c r="B117" s="8" t="inlineStr">
        <is>
          <t>The Raid</t>
        </is>
      </c>
      <c r="C117" s="8" t="inlineStr">
        <is>
          <t>INTRO</t>
        </is>
      </c>
      <c r="D117" s="8" t="inlineStr">
        <is>
          <t>They're breaking down the door! Throw it in the toilet, NOW!</t>
        </is>
      </c>
      <c r="E117" s="8" t="n">
        <v>1</v>
      </c>
      <c r="F117" s="8" t="inlineStr"/>
    </row>
    <row r="118">
      <c r="A118" s="8" t="inlineStr">
        <is>
          <t>SURPRISE</t>
        </is>
      </c>
      <c r="B118" s="8" t="inlineStr">
        <is>
          <t>The Raid</t>
        </is>
      </c>
      <c r="C118" s="8" t="inlineStr">
        <is>
          <t>WINNING</t>
        </is>
      </c>
      <c r="D118" s="8" t="inlineStr">
        <is>
          <t>YOU'LL NEVER TAKE ME ALIVE, PIGS!</t>
        </is>
      </c>
      <c r="E118" s="8" t="n">
        <v>1</v>
      </c>
      <c r="F118" s="8" t="inlineStr"/>
    </row>
    <row r="119">
      <c r="A119" s="8" t="inlineStr">
        <is>
          <t>SURPRISE</t>
        </is>
      </c>
      <c r="B119" s="8" t="inlineStr">
        <is>
          <t>The Raid</t>
        </is>
      </c>
      <c r="C119" s="8" t="inlineStr">
        <is>
          <t>LOSING</t>
        </is>
      </c>
      <c r="D119" s="8" t="inlineStr">
        <is>
          <t>The window... it's too high up...</t>
        </is>
      </c>
      <c r="E119" s="8" t="n">
        <v>1</v>
      </c>
      <c r="F119" s="8" t="inlineStr"/>
    </row>
    <row r="120">
      <c r="A120" s="8" t="inlineStr">
        <is>
          <t>SURPRISE</t>
        </is>
      </c>
      <c r="B120" s="8" t="inlineStr">
        <is>
          <t>The Raid</t>
        </is>
      </c>
      <c r="C120" s="8" t="inlineStr">
        <is>
          <t>DEFEAT</t>
        </is>
      </c>
      <c r="D120" s="8" t="inlineStr">
        <is>
          <t>Handcuffs... so cold...</t>
        </is>
      </c>
      <c r="E120" s="8" t="n">
        <v>1</v>
      </c>
      <c r="F120" s="8" t="inlineStr"/>
    </row>
    <row r="121">
      <c r="A121" s="8" t="inlineStr">
        <is>
          <t>SURPRISE</t>
        </is>
      </c>
      <c r="B121" s="8" t="inlineStr">
        <is>
          <t>The Ghost</t>
        </is>
      </c>
      <c r="C121" s="8" t="inlineStr">
        <is>
          <t>INTRO</t>
        </is>
      </c>
      <c r="D121" s="8" t="inlineStr">
        <is>
          <t>Why won't anybody look at me? I've been screaming on this platform for hours...</t>
        </is>
      </c>
      <c r="E121" s="8" t="n">
        <v>1</v>
      </c>
      <c r="F121" s="8" t="inlineStr"/>
    </row>
    <row r="122">
      <c r="A122" s="8" t="inlineStr">
        <is>
          <t>SURPRISE</t>
        </is>
      </c>
      <c r="B122" s="8" t="inlineStr">
        <is>
          <t>The Ghost</t>
        </is>
      </c>
      <c r="C122" s="8" t="inlineStr">
        <is>
          <t>WINNING</t>
        </is>
      </c>
      <c r="D122" s="8" t="inlineStr">
        <is>
          <t>FEEL ME! FEEL MY COLD HANDS!</t>
        </is>
      </c>
      <c r="E122" s="8" t="n">
        <v>1</v>
      </c>
      <c r="F122" s="8" t="inlineStr"/>
    </row>
    <row r="123">
      <c r="A123" s="8" t="inlineStr">
        <is>
          <t>SURPRISE</t>
        </is>
      </c>
      <c r="B123" s="8" t="inlineStr">
        <is>
          <t>The Ghost</t>
        </is>
      </c>
      <c r="C123" s="8" t="inlineStr">
        <is>
          <t>LOSING</t>
        </is>
      </c>
      <c r="D123" s="8" t="inlineStr">
        <is>
          <t>My reflection... I don't have a reflection...</t>
        </is>
      </c>
      <c r="E123" s="8" t="n">
        <v>1</v>
      </c>
      <c r="F123" s="8" t="inlineStr"/>
    </row>
    <row r="124">
      <c r="A124" s="8" t="inlineStr">
        <is>
          <t>SURPRISE</t>
        </is>
      </c>
      <c r="B124" s="8" t="inlineStr">
        <is>
          <t>The Ghost</t>
        </is>
      </c>
      <c r="C124" s="8" t="inlineStr">
        <is>
          <t>DEFEAT</t>
        </is>
      </c>
      <c r="D124" s="8" t="inlineStr">
        <is>
          <t>I died... I died under the metro...</t>
        </is>
      </c>
      <c r="E124" s="8" t="n">
        <v>1</v>
      </c>
      <c r="F124" s="8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11" customWidth="1" min="4" max="4"/>
  </cols>
  <sheetData>
    <row r="1">
      <c r="A1" s="4" t="inlineStr">
        <is>
          <t>The cue above the attack line. One is picked at random each turn.</t>
        </is>
      </c>
    </row>
    <row r="3">
      <c r="A3" s="5" t="inlineStr">
        <is>
          <t>id</t>
        </is>
      </c>
      <c r="B3" s="5" t="inlineStr">
        <is>
          <t>text</t>
        </is>
      </c>
      <c r="C3" s="5" t="inlineStr">
        <is>
          <t>enabled</t>
        </is>
      </c>
      <c r="D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7" t="inlineStr">
        <is>
          <t>planned</t>
        </is>
      </c>
    </row>
    <row r="5">
      <c r="A5" s="8" t="inlineStr">
        <is>
          <t>p01</t>
        </is>
      </c>
      <c r="B5" s="8" t="inlineStr">
        <is>
          <t>Whatcha gonna do?</t>
        </is>
      </c>
      <c r="C5" s="8" t="n">
        <v>1</v>
      </c>
      <c r="D5" s="8" t="inlineStr"/>
    </row>
    <row r="6">
      <c r="A6" s="8" t="inlineStr">
        <is>
          <t>p02</t>
        </is>
      </c>
      <c r="B6" s="8" t="inlineStr">
        <is>
          <t>How did that make you feel?</t>
        </is>
      </c>
      <c r="C6" s="8" t="n">
        <v>1</v>
      </c>
      <c r="D6" s="8" t="inlineStr"/>
    </row>
    <row r="7">
      <c r="A7" s="8" t="inlineStr">
        <is>
          <t>p03</t>
        </is>
      </c>
      <c r="B7" s="8" t="inlineStr">
        <is>
          <t>Act!</t>
        </is>
      </c>
      <c r="C7" s="8" t="n">
        <v>1</v>
      </c>
      <c r="D7" s="8" t="inlineStr"/>
    </row>
    <row r="8">
      <c r="A8" s="8" t="inlineStr">
        <is>
          <t>p04</t>
        </is>
      </c>
      <c r="B8" s="8" t="inlineStr">
        <is>
          <t>R U OK?</t>
        </is>
      </c>
      <c r="C8" s="8" t="n">
        <v>1</v>
      </c>
      <c r="D8" s="8" t="inlineStr"/>
    </row>
    <row r="9">
      <c r="A9" s="8" t="inlineStr">
        <is>
          <t>p05</t>
        </is>
      </c>
      <c r="B9" s="8" t="inlineStr">
        <is>
          <t>Show them.</t>
        </is>
      </c>
      <c r="C9" s="8" t="n">
        <v>1</v>
      </c>
      <c r="D9" s="8" t="inlineStr"/>
    </row>
    <row r="10">
      <c r="A10" s="8" t="inlineStr">
        <is>
          <t>p06</t>
        </is>
      </c>
      <c r="B10" s="8" t="inlineStr">
        <is>
          <t>Say something.</t>
        </is>
      </c>
      <c r="C10" s="8" t="n">
        <v>1</v>
      </c>
      <c r="D10" s="8" t="inlineStr"/>
    </row>
    <row r="11">
      <c r="A11" s="8" t="inlineStr">
        <is>
          <t>p07</t>
        </is>
      </c>
      <c r="B11" s="8" t="inlineStr">
        <is>
          <t>Your move.</t>
        </is>
      </c>
      <c r="C11" s="8" t="n">
        <v>1</v>
      </c>
      <c r="D11" s="8" t="inlineStr"/>
    </row>
    <row r="12">
      <c r="A12" s="8" t="inlineStr">
        <is>
          <t>p08</t>
        </is>
      </c>
      <c r="B12" s="8" t="inlineStr">
        <is>
          <t>Don't just stand there.</t>
        </is>
      </c>
      <c r="C12" s="8" t="n">
        <v>1</v>
      </c>
      <c r="D12" s="8" t="inlineStr"/>
    </row>
    <row r="13">
      <c r="A13" s="8" t="inlineStr">
        <is>
          <t>p09</t>
        </is>
      </c>
      <c r="B13" s="8" t="inlineStr">
        <is>
          <t>Feel it.</t>
        </is>
      </c>
      <c r="C13" s="8" t="n">
        <v>1</v>
      </c>
      <c r="D13" s="8" t="inlineStr"/>
    </row>
    <row r="14">
      <c r="A14" s="8" t="inlineStr">
        <is>
          <t>p10</t>
        </is>
      </c>
      <c r="B14" s="8" t="inlineStr">
        <is>
          <t>What now?</t>
        </is>
      </c>
      <c r="C14" s="8" t="n">
        <v>1</v>
      </c>
      <c r="D14" s="8" t="inlineStr"/>
    </row>
    <row r="15">
      <c r="A15" s="8" t="inlineStr">
        <is>
          <t>p11</t>
        </is>
      </c>
      <c r="B15" s="8" t="inlineStr">
        <is>
          <t>Answer that.</t>
        </is>
      </c>
      <c r="C15" s="8" t="n">
        <v>1</v>
      </c>
      <c r="D15" s="8" t="inlineStr"/>
    </row>
    <row r="16">
      <c r="A16" s="8" t="inlineStr">
        <is>
          <t>p12</t>
        </is>
      </c>
      <c r="B16" s="8" t="inlineStr">
        <is>
          <t>Let it out.</t>
        </is>
      </c>
      <c r="C16" s="8" t="n">
        <v>1</v>
      </c>
      <c r="D16" s="8" t="inlineStr"/>
    </row>
    <row r="17">
      <c r="A17" s="8" t="inlineStr">
        <is>
          <t>p13</t>
        </is>
      </c>
      <c r="B17" s="8" t="inlineStr">
        <is>
          <t>Breathe. Then act.</t>
        </is>
      </c>
      <c r="C17" s="8" t="n">
        <v>1</v>
      </c>
      <c r="D17" s="8" t="inlineStr"/>
    </row>
    <row r="18">
      <c r="A18" s="8" t="inlineStr">
        <is>
          <t>p14</t>
        </is>
      </c>
      <c r="B18" s="8" t="inlineStr">
        <is>
          <t>You alright?</t>
        </is>
      </c>
      <c r="C18" s="8" t="n">
        <v>1</v>
      </c>
      <c r="D18" s="8" t="inlineStr"/>
    </row>
    <row r="19">
      <c r="A19" s="8" t="inlineStr">
        <is>
          <t>p15</t>
        </is>
      </c>
      <c r="B19" s="8" t="inlineStr">
        <is>
          <t>Do something.</t>
        </is>
      </c>
      <c r="C19" s="8" t="n">
        <v>1</v>
      </c>
      <c r="D19" s="8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54" customWidth="1" min="5" max="5"/>
    <col width="13" customWidth="1" min="6" max="6"/>
    <col width="12" customWidth="1" min="7" max="7"/>
    <col width="30" customWidth="1" min="8" max="8"/>
  </cols>
  <sheetData>
    <row r="1">
      <c r="A1" s="4" t="inlineStr">
        <is>
          <t>Title-screen mood line: "Barcelona, &lt;weekday&gt;, &lt;phrase&gt;." day is MON..SUN or * for any. Hours are Barcelona local, to_hour exclusive; a band may wrap past midnight. Highest priority wins, ties are random.</t>
        </is>
      </c>
    </row>
    <row r="3">
      <c r="A3" s="5" t="inlineStr">
        <is>
          <t>id</t>
        </is>
      </c>
      <c r="B3" s="5" t="inlineStr">
        <is>
          <t>day</t>
        </is>
      </c>
      <c r="C3" s="5" t="inlineStr">
        <is>
          <t>from_hour</t>
        </is>
      </c>
      <c r="D3" s="5" t="inlineStr">
        <is>
          <t>to_hour</t>
        </is>
      </c>
      <c r="E3" s="5" t="inlineStr">
        <is>
          <t>phrase</t>
        </is>
      </c>
      <c r="F3" s="5" t="inlineStr">
        <is>
          <t>priority</t>
        </is>
      </c>
      <c r="G3" s="5" t="inlineStr">
        <is>
          <t>enabled</t>
        </is>
      </c>
      <c r="H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</row>
    <row r="5">
      <c r="A5" s="8" t="inlineStr">
        <is>
          <t>dawn_1</t>
        </is>
      </c>
      <c r="B5" s="8" t="inlineStr">
        <is>
          <t>*</t>
        </is>
      </c>
      <c r="C5" s="8" t="n">
        <v>5</v>
      </c>
      <c r="D5" s="8" t="n">
        <v>7</v>
      </c>
      <c r="E5" s="8" t="inlineStr">
        <is>
          <t>the first light is still deciding</t>
        </is>
      </c>
      <c r="F5" s="8" t="n">
        <v>0</v>
      </c>
      <c r="G5" s="8" t="n">
        <v>1</v>
      </c>
      <c r="H5" s="8" t="inlineStr"/>
    </row>
    <row r="6">
      <c r="A6" s="8" t="inlineStr">
        <is>
          <t>dawn_2</t>
        </is>
      </c>
      <c r="B6" s="8" t="inlineStr">
        <is>
          <t>*</t>
        </is>
      </c>
      <c r="C6" s="8" t="n">
        <v>5</v>
      </c>
      <c r="D6" s="8" t="n">
        <v>7</v>
      </c>
      <c r="E6" s="8" t="inlineStr">
        <is>
          <t>nobody has spoken yet today</t>
        </is>
      </c>
      <c r="F6" s="8" t="n">
        <v>0</v>
      </c>
      <c r="G6" s="8" t="n">
        <v>1</v>
      </c>
      <c r="H6" s="8" t="inlineStr"/>
    </row>
    <row r="7">
      <c r="A7" s="8" t="inlineStr">
        <is>
          <t>morn_1</t>
        </is>
      </c>
      <c r="B7" s="8" t="inlineStr">
        <is>
          <t>*</t>
        </is>
      </c>
      <c r="C7" s="8" t="n">
        <v>7</v>
      </c>
      <c r="D7" s="8" t="n">
        <v>10</v>
      </c>
      <c r="E7" s="8" t="inlineStr">
        <is>
          <t>early morning</t>
        </is>
      </c>
      <c r="F7" s="8" t="n">
        <v>0</v>
      </c>
      <c r="G7" s="8" t="n">
        <v>1</v>
      </c>
      <c r="H7" s="8" t="inlineStr"/>
    </row>
    <row r="8">
      <c r="A8" s="8" t="inlineStr">
        <is>
          <t>morn_2</t>
        </is>
      </c>
      <c r="B8" s="8" t="inlineStr">
        <is>
          <t>*</t>
        </is>
      </c>
      <c r="C8" s="8" t="n">
        <v>7</v>
      </c>
      <c r="D8" s="8" t="n">
        <v>10</v>
      </c>
      <c r="E8" s="8" t="inlineStr">
        <is>
          <t>the early carriages are full of unfinished sleep</t>
        </is>
      </c>
      <c r="F8" s="8" t="n">
        <v>0</v>
      </c>
      <c r="G8" s="8" t="n">
        <v>1</v>
      </c>
      <c r="H8" s="8" t="inlineStr"/>
    </row>
    <row r="9">
      <c r="A9" s="8" t="inlineStr">
        <is>
          <t>morn_3</t>
        </is>
      </c>
      <c r="B9" s="8" t="inlineStr">
        <is>
          <t>*</t>
        </is>
      </c>
      <c r="C9" s="8" t="n">
        <v>7</v>
      </c>
      <c r="D9" s="8" t="n">
        <v>10</v>
      </c>
      <c r="E9" s="8" t="inlineStr">
        <is>
          <t>everyone is already late</t>
        </is>
      </c>
      <c r="F9" s="8" t="n">
        <v>0</v>
      </c>
      <c r="G9" s="8" t="n">
        <v>1</v>
      </c>
      <c r="H9" s="8" t="inlineStr"/>
    </row>
    <row r="10">
      <c r="A10" s="8" t="inlineStr">
        <is>
          <t>mid_1</t>
        </is>
      </c>
      <c r="B10" s="8" t="inlineStr">
        <is>
          <t>*</t>
        </is>
      </c>
      <c r="C10" s="8" t="n">
        <v>10</v>
      </c>
      <c r="D10" s="8" t="n">
        <v>13</v>
      </c>
      <c r="E10" s="8" t="inlineStr">
        <is>
          <t>middle of the day</t>
        </is>
      </c>
      <c r="F10" s="8" t="n">
        <v>0</v>
      </c>
      <c r="G10" s="8" t="n">
        <v>1</v>
      </c>
      <c r="H10" s="8" t="inlineStr"/>
    </row>
    <row r="11">
      <c r="A11" s="8" t="inlineStr">
        <is>
          <t>mid_2</t>
        </is>
      </c>
      <c r="B11" s="8" t="inlineStr">
        <is>
          <t>*</t>
        </is>
      </c>
      <c r="C11" s="8" t="n">
        <v>10</v>
      </c>
      <c r="D11" s="8" t="n">
        <v>13</v>
      </c>
      <c r="E11" s="8" t="inlineStr">
        <is>
          <t>the light is flat and honest</t>
        </is>
      </c>
      <c r="F11" s="8" t="n">
        <v>0</v>
      </c>
      <c r="G11" s="8" t="n">
        <v>1</v>
      </c>
      <c r="H11" s="8" t="inlineStr"/>
    </row>
    <row r="12">
      <c r="A12" s="8" t="inlineStr">
        <is>
          <t>noon_1</t>
        </is>
      </c>
      <c r="B12" s="8" t="inlineStr">
        <is>
          <t>*</t>
        </is>
      </c>
      <c r="C12" s="8" t="n">
        <v>13</v>
      </c>
      <c r="D12" s="8" t="n">
        <v>16</v>
      </c>
      <c r="E12" s="8" t="inlineStr">
        <is>
          <t>all afternoon ahead</t>
        </is>
      </c>
      <c r="F12" s="8" t="n">
        <v>0</v>
      </c>
      <c r="G12" s="8" t="n">
        <v>1</v>
      </c>
      <c r="H12" s="8" t="inlineStr"/>
    </row>
    <row r="13">
      <c r="A13" s="8" t="inlineStr">
        <is>
          <t>noon_2</t>
        </is>
      </c>
      <c r="B13" s="8" t="inlineStr">
        <is>
          <t>*</t>
        </is>
      </c>
      <c r="C13" s="8" t="n">
        <v>13</v>
      </c>
      <c r="D13" s="8" t="n">
        <v>16</v>
      </c>
      <c r="E13" s="8" t="inlineStr">
        <is>
          <t>the long slow part of the day</t>
        </is>
      </c>
      <c r="F13" s="8" t="n">
        <v>0</v>
      </c>
      <c r="G13" s="8" t="n">
        <v>1</v>
      </c>
      <c r="H13" s="8" t="inlineStr"/>
    </row>
    <row r="14">
      <c r="A14" s="8" t="inlineStr">
        <is>
          <t>late_1</t>
        </is>
      </c>
      <c r="B14" s="8" t="inlineStr">
        <is>
          <t>*</t>
        </is>
      </c>
      <c r="C14" s="8" t="n">
        <v>16</v>
      </c>
      <c r="D14" s="8" t="n">
        <v>19</v>
      </c>
      <c r="E14" s="8" t="inlineStr">
        <is>
          <t>the afternoon is running out</t>
        </is>
      </c>
      <c r="F14" s="8" t="n">
        <v>0</v>
      </c>
      <c r="G14" s="8" t="n">
        <v>1</v>
      </c>
      <c r="H14" s="8" t="inlineStr"/>
    </row>
    <row r="15">
      <c r="A15" s="8" t="inlineStr">
        <is>
          <t>late_2</t>
        </is>
      </c>
      <c r="B15" s="8" t="inlineStr">
        <is>
          <t>*</t>
        </is>
      </c>
      <c r="C15" s="8" t="n">
        <v>16</v>
      </c>
      <c r="D15" s="8" t="n">
        <v>19</v>
      </c>
      <c r="E15" s="8" t="inlineStr">
        <is>
          <t>everyone is going somewhere they did not choose</t>
        </is>
      </c>
      <c r="F15" s="8" t="n">
        <v>0</v>
      </c>
      <c r="G15" s="8" t="n">
        <v>1</v>
      </c>
      <c r="H15" s="8" t="inlineStr"/>
    </row>
    <row r="16">
      <c r="A16" s="8" t="inlineStr">
        <is>
          <t>dusk_1</t>
        </is>
      </c>
      <c r="B16" s="8" t="inlineStr">
        <is>
          <t>*</t>
        </is>
      </c>
      <c r="C16" s="8" t="n">
        <v>19</v>
      </c>
      <c r="D16" s="8" t="n">
        <v>21</v>
      </c>
      <c r="E16" s="8" t="inlineStr">
        <is>
          <t>somber twilight</t>
        </is>
      </c>
      <c r="F16" s="8" t="n">
        <v>0</v>
      </c>
      <c r="G16" s="8" t="n">
        <v>1</v>
      </c>
      <c r="H16" s="8" t="inlineStr"/>
    </row>
    <row r="17">
      <c r="A17" s="8" t="inlineStr">
        <is>
          <t>dusk_2</t>
        </is>
      </c>
      <c r="B17" s="8" t="inlineStr">
        <is>
          <t>*</t>
        </is>
      </c>
      <c r="C17" s="8" t="n">
        <v>19</v>
      </c>
      <c r="D17" s="8" t="n">
        <v>21</v>
      </c>
      <c r="E17" s="8" t="inlineStr">
        <is>
          <t>the hour the day admits what it was</t>
        </is>
      </c>
      <c r="F17" s="8" t="n">
        <v>0</v>
      </c>
      <c r="G17" s="8" t="n">
        <v>1</v>
      </c>
      <c r="H17" s="8" t="inlineStr"/>
    </row>
    <row r="18">
      <c r="A18" s="8" t="inlineStr">
        <is>
          <t>night_1</t>
        </is>
      </c>
      <c r="B18" s="8" t="inlineStr">
        <is>
          <t>*</t>
        </is>
      </c>
      <c r="C18" s="8" t="n">
        <v>21</v>
      </c>
      <c r="D18" s="8" t="n">
        <v>24</v>
      </c>
      <c r="E18" s="8" t="inlineStr">
        <is>
          <t>the night is getting loud</t>
        </is>
      </c>
      <c r="F18" s="8" t="n">
        <v>0</v>
      </c>
      <c r="G18" s="8" t="n">
        <v>1</v>
      </c>
      <c r="H18" s="8" t="inlineStr"/>
    </row>
    <row r="19">
      <c r="A19" s="8" t="inlineStr">
        <is>
          <t>night_2</t>
        </is>
      </c>
      <c r="B19" s="8" t="inlineStr">
        <is>
          <t>*</t>
        </is>
      </c>
      <c r="C19" s="8" t="n">
        <v>21</v>
      </c>
      <c r="D19" s="8" t="n">
        <v>24</v>
      </c>
      <c r="E19" s="8" t="inlineStr">
        <is>
          <t>the last trains are filling up</t>
        </is>
      </c>
      <c r="F19" s="8" t="n">
        <v>0</v>
      </c>
      <c r="G19" s="8" t="n">
        <v>1</v>
      </c>
      <c r="H19" s="8" t="inlineStr"/>
    </row>
    <row r="20">
      <c r="A20" s="8" t="inlineStr">
        <is>
          <t>small_1</t>
        </is>
      </c>
      <c r="B20" s="8" t="inlineStr">
        <is>
          <t>*</t>
        </is>
      </c>
      <c r="C20" s="8" t="n">
        <v>0</v>
      </c>
      <c r="D20" s="8" t="n">
        <v>5</v>
      </c>
      <c r="E20" s="8" t="inlineStr">
        <is>
          <t>the madrugada, and still moving</t>
        </is>
      </c>
      <c r="F20" s="8" t="n">
        <v>0</v>
      </c>
      <c r="G20" s="8" t="n">
        <v>1</v>
      </c>
      <c r="H20" s="8" t="inlineStr"/>
    </row>
    <row r="21">
      <c r="A21" s="8" t="inlineStr">
        <is>
          <t>small_2</t>
        </is>
      </c>
      <c r="B21" s="8" t="inlineStr">
        <is>
          <t>*</t>
        </is>
      </c>
      <c r="C21" s="8" t="n">
        <v>0</v>
      </c>
      <c r="D21" s="8" t="n">
        <v>5</v>
      </c>
      <c r="E21" s="8" t="inlineStr">
        <is>
          <t>too late to be anything but honest</t>
        </is>
      </c>
      <c r="F21" s="8" t="n">
        <v>0</v>
      </c>
      <c r="G21" s="8" t="n">
        <v>1</v>
      </c>
      <c r="H21" s="8" t="inlineStr"/>
    </row>
    <row r="22">
      <c r="A22" s="8" t="inlineStr">
        <is>
          <t>mon_morn</t>
        </is>
      </c>
      <c r="B22" s="8" t="inlineStr">
        <is>
          <t>MON</t>
        </is>
      </c>
      <c r="C22" s="8" t="n">
        <v>5</v>
      </c>
      <c r="D22" s="8" t="n">
        <v>10</v>
      </c>
      <c r="E22" s="8" t="inlineStr">
        <is>
          <t>monday, and the week already weighs something</t>
        </is>
      </c>
      <c r="F22" s="8" t="n">
        <v>2</v>
      </c>
      <c r="G22" s="8" t="n">
        <v>1</v>
      </c>
      <c r="H22" s="8" t="inlineStr"/>
    </row>
    <row r="23">
      <c r="A23" s="8" t="inlineStr">
        <is>
          <t>mon_dusk</t>
        </is>
      </c>
      <c r="B23" s="8" t="inlineStr">
        <is>
          <t>MON</t>
        </is>
      </c>
      <c r="C23" s="8" t="n">
        <v>19</v>
      </c>
      <c r="D23" s="8" t="n">
        <v>24</v>
      </c>
      <c r="E23" s="8" t="inlineStr">
        <is>
          <t>the longest monday of the month</t>
        </is>
      </c>
      <c r="F23" s="8" t="n">
        <v>2</v>
      </c>
      <c r="G23" s="8" t="n">
        <v>1</v>
      </c>
      <c r="H23" s="8" t="inlineStr"/>
    </row>
    <row r="24">
      <c r="A24" s="8" t="inlineStr">
        <is>
          <t>wed_mid</t>
        </is>
      </c>
      <c r="B24" s="8" t="inlineStr">
        <is>
          <t>WED</t>
        </is>
      </c>
      <c r="C24" s="8" t="n">
        <v>10</v>
      </c>
      <c r="D24" s="8" t="n">
        <v>16</v>
      </c>
      <c r="E24" s="8" t="inlineStr">
        <is>
          <t>the week is stuck exactly in the middle</t>
        </is>
      </c>
      <c r="F24" s="8" t="n">
        <v>2</v>
      </c>
      <c r="G24" s="8" t="n">
        <v>1</v>
      </c>
      <c r="H24" s="8" t="inlineStr"/>
    </row>
    <row r="25">
      <c r="A25" s="8" t="inlineStr">
        <is>
          <t>thu_late</t>
        </is>
      </c>
      <c r="B25" s="8" t="inlineStr">
        <is>
          <t>THU</t>
        </is>
      </c>
      <c r="C25" s="8" t="n">
        <v>16</v>
      </c>
      <c r="D25" s="8" t="n">
        <v>21</v>
      </c>
      <c r="E25" s="8" t="inlineStr">
        <is>
          <t>almost, but not yet</t>
        </is>
      </c>
      <c r="F25" s="8" t="n">
        <v>2</v>
      </c>
      <c r="G25" s="8" t="n">
        <v>1</v>
      </c>
      <c r="H25" s="8" t="inlineStr"/>
    </row>
    <row r="26">
      <c r="A26" s="8" t="inlineStr">
        <is>
          <t>fri_dusk</t>
        </is>
      </c>
      <c r="B26" s="8" t="inlineStr">
        <is>
          <t>FRI</t>
        </is>
      </c>
      <c r="C26" s="8" t="n">
        <v>19</v>
      </c>
      <c r="D26" s="8" t="n">
        <v>21</v>
      </c>
      <c r="E26" s="8" t="inlineStr">
        <is>
          <t>a night to finally be free</t>
        </is>
      </c>
      <c r="F26" s="8" t="n">
        <v>2</v>
      </c>
      <c r="G26" s="8" t="n">
        <v>1</v>
      </c>
      <c r="H26" s="8" t="inlineStr"/>
    </row>
    <row r="27">
      <c r="A27" s="8" t="inlineStr">
        <is>
          <t>fri_night</t>
        </is>
      </c>
      <c r="B27" s="8" t="inlineStr">
        <is>
          <t>FRI</t>
        </is>
      </c>
      <c r="C27" s="8" t="n">
        <v>21</v>
      </c>
      <c r="D27" s="8" t="n">
        <v>24</v>
      </c>
      <c r="E27" s="8" t="inlineStr">
        <is>
          <t>a night to finally be free</t>
        </is>
      </c>
      <c r="F27" s="8" t="n">
        <v>2</v>
      </c>
      <c r="G27" s="8" t="n">
        <v>1</v>
      </c>
      <c r="H27" s="8" t="inlineStr"/>
    </row>
    <row r="28">
      <c r="A28" s="8" t="inlineStr">
        <is>
          <t>fri_small</t>
        </is>
      </c>
      <c r="B28" s="8" t="inlineStr">
        <is>
          <t>FRI</t>
        </is>
      </c>
      <c r="C28" s="8" t="n">
        <v>0</v>
      </c>
      <c r="D28" s="8" t="n">
        <v>5</v>
      </c>
      <c r="E28" s="8" t="inlineStr">
        <is>
          <t>friday refusing to end</t>
        </is>
      </c>
      <c r="F28" s="8" t="n">
        <v>2</v>
      </c>
      <c r="G28" s="8" t="n">
        <v>1</v>
      </c>
      <c r="H28" s="8" t="inlineStr"/>
    </row>
    <row r="29">
      <c r="A29" s="8" t="inlineStr">
        <is>
          <t>sat_mid</t>
        </is>
      </c>
      <c r="B29" s="8" t="inlineStr">
        <is>
          <t>SAT</t>
        </is>
      </c>
      <c r="C29" s="8" t="n">
        <v>10</v>
      </c>
      <c r="D29" s="8" t="n">
        <v>16</v>
      </c>
      <c r="E29" s="8" t="inlineStr">
        <is>
          <t>a saturday with nothing owed to anyone</t>
        </is>
      </c>
      <c r="F29" s="8" t="n">
        <v>2</v>
      </c>
      <c r="G29" s="8" t="n">
        <v>1</v>
      </c>
      <c r="H29" s="8" t="inlineStr"/>
    </row>
    <row r="30">
      <c r="A30" s="8" t="inlineStr">
        <is>
          <t>sat_night</t>
        </is>
      </c>
      <c r="B30" s="8" t="inlineStr">
        <is>
          <t>SAT</t>
        </is>
      </c>
      <c r="C30" s="8" t="n">
        <v>21</v>
      </c>
      <c r="D30" s="8" t="n">
        <v>24</v>
      </c>
      <c r="E30" s="8" t="inlineStr">
        <is>
          <t>the city is pretending it never has to work again</t>
        </is>
      </c>
      <c r="F30" s="8" t="n">
        <v>2</v>
      </c>
      <c r="G30" s="8" t="n">
        <v>1</v>
      </c>
      <c r="H30" s="8" t="inlineStr"/>
    </row>
    <row r="31">
      <c r="A31" s="8" t="inlineStr">
        <is>
          <t>sun_mid</t>
        </is>
      </c>
      <c r="B31" s="8" t="inlineStr">
        <is>
          <t>SUN</t>
        </is>
      </c>
      <c r="C31" s="8" t="n">
        <v>10</v>
      </c>
      <c r="D31" s="8" t="n">
        <v>16</v>
      </c>
      <c r="E31" s="8" t="inlineStr">
        <is>
          <t>a sunday that stretches too far</t>
        </is>
      </c>
      <c r="F31" s="8" t="n">
        <v>2</v>
      </c>
      <c r="G31" s="8" t="n">
        <v>1</v>
      </c>
      <c r="H31" s="8" t="inlineStr"/>
    </row>
    <row r="32">
      <c r="A32" s="8" t="inlineStr">
        <is>
          <t>sun_dusk</t>
        </is>
      </c>
      <c r="B32" s="8" t="inlineStr">
        <is>
          <t>SUN</t>
        </is>
      </c>
      <c r="C32" s="8" t="n">
        <v>19</v>
      </c>
      <c r="D32" s="8" t="n">
        <v>24</v>
      </c>
      <c r="E32" s="8" t="inlineStr">
        <is>
          <t>sunday dusk, and monday already breathing on it</t>
        </is>
      </c>
      <c r="F32" s="8" t="n">
        <v>2</v>
      </c>
      <c r="G32" s="8" t="n">
        <v>1</v>
      </c>
      <c r="H32" s="8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5" customWidth="1" min="4" max="4"/>
    <col width="20" customWidth="1" min="5" max="5"/>
    <col width="19" customWidth="1" min="6" max="6"/>
    <col width="20" customWidth="1" min="7" max="7"/>
    <col width="18" customWidth="1" min="8" max="8"/>
    <col width="20" customWidth="1" min="9" max="9"/>
    <col width="11" customWidth="1" min="10" max="10"/>
    <col width="12" customWidth="1" min="11" max="11"/>
    <col width="54" customWidth="1" min="12" max="12"/>
  </cols>
  <sheetData>
    <row r="1">
      <c r="A1" s="4" t="inlineStr">
        <is>
          <t>RESERVED. Layers are plain emotions today — units.layers holds emotion ids. This sheet exists for when a layer needs properties of its own (taking several hits to break, doing something when it breaks, or granting a passive while it is outermost).</t>
        </is>
      </c>
    </row>
    <row r="3">
      <c r="A3" s="5" t="inlineStr">
        <is>
          <t>id</t>
        </is>
      </c>
      <c r="B3" s="5" t="inlineStr">
        <is>
          <t>emotion</t>
        </is>
      </c>
      <c r="C3" s="5" t="inlineStr">
        <is>
          <t>display_name</t>
        </is>
      </c>
      <c r="D3" s="5" t="inlineStr">
        <is>
          <t>durability</t>
        </is>
      </c>
      <c r="E3" s="5" t="inlineStr">
        <is>
          <t>on_break_effect</t>
        </is>
      </c>
      <c r="F3" s="5" t="inlineStr">
        <is>
          <t>on_break_value</t>
        </is>
      </c>
      <c r="G3" s="5" t="inlineStr">
        <is>
          <t>passive_effect</t>
        </is>
      </c>
      <c r="H3" s="5" t="inlineStr">
        <is>
          <t>passive_value</t>
        </is>
      </c>
      <c r="I3" s="5" t="inlineStr">
        <is>
          <t>regrow_delay_ms</t>
        </is>
      </c>
      <c r="J3" s="5" t="inlineStr">
        <is>
          <t>tags</t>
        </is>
      </c>
      <c r="K3" s="5" t="inlineStr">
        <is>
          <t>enabled</t>
        </is>
      </c>
      <c r="L3" s="5" t="inlineStr">
        <is>
          <t>notes</t>
        </is>
      </c>
    </row>
    <row r="4">
      <c r="A4" s="7" t="inlineStr">
        <is>
          <t>planned</t>
        </is>
      </c>
      <c r="B4" s="7" t="inlineStr">
        <is>
          <t>planned</t>
        </is>
      </c>
      <c r="C4" s="7" t="inlineStr">
        <is>
          <t>planned</t>
        </is>
      </c>
      <c r="D4" s="7" t="inlineStr">
        <is>
          <t>planned</t>
        </is>
      </c>
      <c r="E4" s="7" t="inlineStr">
        <is>
          <t>planned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</row>
    <row r="5">
      <c r="A5" s="8" t="inlineStr">
        <is>
          <t>EXAMPLE_BRITTLE_ANGER</t>
        </is>
      </c>
      <c r="B5" s="8" t="inlineStr">
        <is>
          <t>ANGER</t>
        </is>
      </c>
      <c r="C5" s="8" t="inlineStr">
        <is>
          <t>Brittle Anger</t>
        </is>
      </c>
      <c r="D5" s="8" t="n">
        <v>1</v>
      </c>
      <c r="E5" s="8" t="inlineStr">
        <is>
          <t>EC_TO_OWNER</t>
        </is>
      </c>
      <c r="F5" s="8" t="n">
        <v>10</v>
      </c>
      <c r="G5" s="8" t="inlineStr">
        <is>
          <t>DMG_TAKEN_MULT</t>
        </is>
      </c>
      <c r="H5" s="8" t="n">
        <v>1.25</v>
      </c>
      <c r="I5" s="8" t="n">
        <v>380</v>
      </c>
      <c r="J5" s="8" t="inlineStr">
        <is>
          <t>EXAMPLE</t>
        </is>
      </c>
      <c r="K5" s="8" t="n">
        <v>0</v>
      </c>
      <c r="L5" s="8" t="inlineStr">
        <is>
          <t>EXAMPLE ROW — shows the intended format. enabled=0, so it is ignored.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6" customWidth="1" min="7" max="7"/>
    <col width="16" customWidth="1" min="8" max="8"/>
    <col width="14" customWidth="1" min="9" max="9"/>
    <col width="14" customWidth="1" min="10" max="10"/>
    <col width="19" customWidth="1" min="11" max="11"/>
    <col width="19" customWidth="1" min="12" max="12"/>
    <col width="17" customWidth="1" min="13" max="13"/>
    <col width="16" customWidth="1" min="14" max="14"/>
    <col width="16" customWidth="1" min="15" max="15"/>
    <col width="19" customWidth="1" min="16" max="16"/>
    <col width="13" customWidth="1" min="17" max="17"/>
    <col width="15" customWidth="1" min="18" max="18"/>
    <col width="12" customWidth="1" min="19" max="19"/>
    <col width="52" customWidth="1" min="20" max="20"/>
  </cols>
  <sheetData>
    <row r="1">
      <c r="A1" s="4" t="inlineStr">
        <is>
          <t>One row per status. Abilities apply these by id through status_apply / status_duration. Add a status by adding a row and teaching Kinds what reads it.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duration</t>
        </is>
      </c>
      <c r="D3" s="5" t="inlineStr">
        <is>
          <t>icon</t>
        </is>
      </c>
      <c r="E3" s="5" t="inlineStr">
        <is>
          <t>color</t>
        </is>
      </c>
      <c r="F3" s="5" t="inlineStr">
        <is>
          <t>blurb</t>
        </is>
      </c>
      <c r="G3" s="5" t="inlineStr">
        <is>
          <t>block_regen</t>
        </is>
      </c>
      <c r="H3" s="5" t="inlineStr">
        <is>
          <t>miss_chance</t>
        </is>
      </c>
      <c r="I3" s="5" t="inlineStr">
        <is>
          <t>self_hits</t>
        </is>
      </c>
      <c r="J3" s="5" t="inlineStr">
        <is>
          <t>crit_mult</t>
        </is>
      </c>
      <c r="K3" s="5" t="inlineStr">
        <is>
          <t>dmg_taken_mult</t>
        </is>
      </c>
      <c r="L3" s="5" t="inlineStr">
        <is>
          <t>dmg_dealt_mult</t>
        </is>
      </c>
      <c r="M3" s="5" t="inlineStr">
        <is>
          <t>ec_gain_mult</t>
        </is>
      </c>
      <c r="N3" s="5" t="inlineStr">
        <is>
          <t>ms_per_turn</t>
        </is>
      </c>
      <c r="O3" s="5" t="inlineStr">
        <is>
          <t>ec_per_turn</t>
        </is>
      </c>
      <c r="P3" s="5" t="inlineStr">
        <is>
          <t>blocks_actions</t>
        </is>
      </c>
      <c r="Q3" s="5" t="inlineStr">
        <is>
          <t>stacking</t>
        </is>
      </c>
      <c r="R3" s="5" t="inlineStr">
        <is>
          <t>max_stacks</t>
        </is>
      </c>
      <c r="S3" s="5" t="inlineStr">
        <is>
          <t>enabled</t>
        </is>
      </c>
      <c r="T3" s="5" t="inlineStr">
        <is>
          <t>notes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6" t="inlineStr">
        <is>
          <t>LIVE</t>
        </is>
      </c>
      <c r="I4" s="6" t="inlineStr">
        <is>
          <t>LIVE</t>
        </is>
      </c>
      <c r="J4" s="6" t="inlineStr">
        <is>
          <t>LIVE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  <c r="N4" s="7" t="inlineStr">
        <is>
          <t>planned</t>
        </is>
      </c>
      <c r="O4" s="7" t="inlineStr">
        <is>
          <t>planned</t>
        </is>
      </c>
      <c r="P4" s="7" t="inlineStr">
        <is>
          <t>planned</t>
        </is>
      </c>
      <c r="Q4" s="7" t="inlineStr">
        <is>
          <t>planned</t>
        </is>
      </c>
      <c r="R4" s="7" t="inlineStr">
        <is>
          <t>planned</t>
        </is>
      </c>
      <c r="S4" s="6" t="inlineStr">
        <is>
          <t>LIVE</t>
        </is>
      </c>
      <c r="T4" s="7" t="inlineStr">
        <is>
          <t>planned</t>
        </is>
      </c>
    </row>
    <row r="5">
      <c r="A5" s="8" t="inlineStr">
        <is>
          <t>NO_REGEN</t>
        </is>
      </c>
      <c r="B5" s="8" t="inlineStr">
        <is>
          <t>Rotting</t>
        </is>
      </c>
      <c r="C5" s="8" t="n">
        <v>2</v>
      </c>
      <c r="D5" s="8" t="inlineStr">
        <is>
          <t>ROT</t>
        </is>
      </c>
      <c r="E5" s="8" t="inlineStr">
        <is>
          <t>#56a36a</t>
        </is>
      </c>
      <c r="F5" s="8" t="inlineStr">
        <is>
          <t>*2* of your broken {LAYERS} are being held down. They stay broken until this wears off.</t>
        </is>
      </c>
      <c r="G5" s="8" t="n">
        <v>2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1</v>
      </c>
      <c r="M5" s="8" t="n">
        <v>1</v>
      </c>
      <c r="N5" s="8" t="n">
        <v>0</v>
      </c>
      <c r="O5" s="8" t="n">
        <v>0</v>
      </c>
      <c r="P5" s="8" t="n">
        <v>0</v>
      </c>
      <c r="Q5" s="8" t="inlineStr">
        <is>
          <t>REFRESH</t>
        </is>
      </c>
      <c r="R5" s="8" t="n">
        <v>1</v>
      </c>
      <c r="S5" s="8" t="n">
        <v>1</v>
      </c>
      <c r="T5" s="8" t="inlineStr">
        <is>
          <t>Holds this many broken layers down: they stay broken while it lasts.</t>
        </is>
      </c>
    </row>
    <row r="6">
      <c r="A6" s="8" t="inlineStr">
        <is>
          <t>SAD</t>
        </is>
      </c>
      <c r="B6" s="8" t="inlineStr">
        <is>
          <t>Sad</t>
        </is>
      </c>
      <c r="C6" s="8" t="n">
        <v>2</v>
      </c>
      <c r="D6" s="8" t="inlineStr">
        <is>
          <t>DROP</t>
        </is>
      </c>
      <c r="E6" s="8" t="inlineStr">
        <is>
          <t>#3d66c1</t>
        </is>
      </c>
      <c r="F6" s="8" t="inlineStr">
        <is>
          <t>At the end of every round one of your own attacks is turned *on yourself*.</t>
        </is>
      </c>
      <c r="G6" s="8" t="n">
        <v>0</v>
      </c>
      <c r="H6" s="8" t="n">
        <v>0</v>
      </c>
      <c r="I6" s="8" t="n">
        <v>1</v>
      </c>
      <c r="J6" s="8" t="n">
        <v>0</v>
      </c>
      <c r="K6" s="8" t="n">
        <v>1</v>
      </c>
      <c r="L6" s="8" t="n">
        <v>1</v>
      </c>
      <c r="M6" s="8" t="n">
        <v>1</v>
      </c>
      <c r="N6" s="8" t="n">
        <v>0</v>
      </c>
      <c r="O6" s="8" t="n">
        <v>0</v>
      </c>
      <c r="P6" s="8" t="n">
        <v>0</v>
      </c>
      <c r="Q6" s="8" t="inlineStr">
        <is>
          <t>REFRESH</t>
        </is>
      </c>
      <c r="R6" s="8" t="n">
        <v>1</v>
      </c>
      <c r="S6" s="8" t="n">
        <v>1</v>
      </c>
      <c r="T6" s="8" t="inlineStr">
        <is>
          <t>Each round end the victim turns one of its OWN attacks on itself.</t>
        </is>
      </c>
    </row>
    <row r="7">
      <c r="A7" s="8" t="inlineStr">
        <is>
          <t>OVERLOAD</t>
        </is>
      </c>
      <c r="B7" s="8" t="inlineStr">
        <is>
          <t>Overload</t>
        </is>
      </c>
      <c r="C7" s="8" t="n">
        <v>0</v>
      </c>
      <c r="D7" s="8" t="inlineStr">
        <is>
          <t>WARN</t>
        </is>
      </c>
      <c r="E7" s="8" t="inlineStr">
        <is>
          <t>#e53859</t>
        </is>
      </c>
      <c r="F7" s="8" t="inlineStr">
        <is>
          <t>Your {EC} is over your {MS}. Your line is being invaded until you burn it down.</t>
        </is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1</v>
      </c>
      <c r="L7" s="8" t="n">
        <v>1</v>
      </c>
      <c r="M7" s="8" t="n">
        <v>1</v>
      </c>
      <c r="N7" s="8" t="n">
        <v>0</v>
      </c>
      <c r="O7" s="8" t="n">
        <v>0</v>
      </c>
      <c r="P7" s="8" t="n">
        <v>0</v>
      </c>
      <c r="Q7" s="8" t="inlineStr">
        <is>
          <t>REFRESH</t>
        </is>
      </c>
      <c r="R7" s="8" t="n">
        <v>1</v>
      </c>
      <c r="S7" s="8" t="n">
        <v>1</v>
      </c>
      <c r="T7" s="8" t="inlineStr">
        <is>
          <t>DERIVED, not timed: it lasts while ec &gt; ms, so it is never stored in unit.statuses.</t>
        </is>
      </c>
    </row>
    <row r="8">
      <c r="A8" s="8" t="inlineStr">
        <is>
          <t>BLINDED</t>
        </is>
      </c>
      <c r="B8" s="8" t="inlineStr">
        <is>
          <t>Blinded</t>
        </is>
      </c>
      <c r="C8" s="8" t="n">
        <v>2</v>
      </c>
      <c r="D8" s="8" t="inlineStr">
        <is>
          <t>EYE</t>
        </is>
      </c>
      <c r="E8" s="8" t="inlineStr">
        <is>
          <t>#e53859</t>
        </is>
      </c>
      <c r="F8" s="8" t="inlineStr">
        <is>
          <t>{ANGER} has blotted out your aim. *Half* of your attacks miss outright.</t>
        </is>
      </c>
      <c r="G8" s="8" t="n">
        <v>0</v>
      </c>
      <c r="H8" s="8" t="n">
        <v>0.5</v>
      </c>
      <c r="I8" s="8" t="n">
        <v>0</v>
      </c>
      <c r="J8" s="8" t="n">
        <v>0</v>
      </c>
      <c r="K8" s="8" t="n">
        <v>1</v>
      </c>
      <c r="L8" s="8" t="n">
        <v>1</v>
      </c>
      <c r="M8" s="8" t="n">
        <v>1</v>
      </c>
      <c r="N8" s="8" t="n">
        <v>0</v>
      </c>
      <c r="O8" s="8" t="n">
        <v>0</v>
      </c>
      <c r="P8" s="8" t="n">
        <v>0</v>
      </c>
      <c r="Q8" s="8" t="inlineStr">
        <is>
          <t>REFRESH</t>
        </is>
      </c>
      <c r="R8" s="8" t="n">
        <v>1</v>
      </c>
      <c r="S8" s="8" t="n">
        <v>1</v>
      </c>
      <c r="T8" s="8" t="inlineStr">
        <is>
          <t>The victim fluffs this fraction of its attacks.</t>
        </is>
      </c>
    </row>
  </sheetData>
  <mergeCells count="1">
    <mergeCell ref="A1:T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  <col width="11" customWidth="1" min="8" max="8"/>
    <col width="17" customWidth="1" min="9" max="9"/>
    <col width="15" customWidth="1" min="10" max="10"/>
    <col width="13" customWidth="1" min="11" max="11"/>
    <col width="12" customWidth="1" min="12" max="12"/>
    <col width="56" customWidth="1" min="13" max="13"/>
  </cols>
  <sheetData>
    <row r="1">
      <c r="A1" s="4" t="inlineStr">
        <is>
          <t>RESERVED. Line-level combos: things that depend on what else is in the line, or on what fired just before. trigger/subject/operator/value form the condition; effect/effect_value form the result. Tell me the ones you want and I will wire the vocabulary you use here.</t>
        </is>
      </c>
    </row>
    <row r="3">
      <c r="A3" s="5" t="inlineStr">
        <is>
          <t>id</t>
        </is>
      </c>
      <c r="B3" s="5" t="inlineStr">
        <is>
          <t>name</t>
        </is>
      </c>
      <c r="C3" s="5" t="inlineStr">
        <is>
          <t>trigger</t>
        </is>
      </c>
      <c r="D3" s="5" t="inlineStr">
        <is>
          <t>subject</t>
        </is>
      </c>
      <c r="E3" s="5" t="inlineStr">
        <is>
          <t>operator</t>
        </is>
      </c>
      <c r="F3" s="5" t="inlineStr">
        <is>
          <t>value</t>
        </is>
      </c>
      <c r="G3" s="5" t="inlineStr">
        <is>
          <t>window</t>
        </is>
      </c>
      <c r="H3" s="5" t="inlineStr">
        <is>
          <t>effect</t>
        </is>
      </c>
      <c r="I3" s="5" t="inlineStr">
        <is>
          <t>effect_value</t>
        </is>
      </c>
      <c r="J3" s="5" t="inlineStr">
        <is>
          <t>applies_to</t>
        </is>
      </c>
      <c r="K3" s="5" t="inlineStr">
        <is>
          <t>priority</t>
        </is>
      </c>
      <c r="L3" s="5" t="inlineStr">
        <is>
          <t>enabled</t>
        </is>
      </c>
      <c r="M3" s="5" t="inlineStr">
        <is>
          <t>notes</t>
        </is>
      </c>
    </row>
    <row r="4">
      <c r="A4" s="7" t="inlineStr">
        <is>
          <t>planned</t>
        </is>
      </c>
      <c r="B4" s="7" t="inlineStr">
        <is>
          <t>planned</t>
        </is>
      </c>
      <c r="C4" s="7" t="inlineStr">
        <is>
          <t>planned</t>
        </is>
      </c>
      <c r="D4" s="7" t="inlineStr">
        <is>
          <t>planned</t>
        </is>
      </c>
      <c r="E4" s="7" t="inlineStr">
        <is>
          <t>planned</t>
        </is>
      </c>
      <c r="F4" s="7" t="inlineStr">
        <is>
          <t>planned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  <c r="J4" s="7" t="inlineStr">
        <is>
          <t>planned</t>
        </is>
      </c>
      <c r="K4" s="7" t="inlineStr">
        <is>
          <t>planned</t>
        </is>
      </c>
      <c r="L4" s="7" t="inlineStr">
        <is>
          <t>planned</t>
        </is>
      </c>
      <c r="M4" s="7" t="inlineStr">
        <is>
          <t>planned</t>
        </is>
      </c>
    </row>
    <row r="5">
      <c r="A5" s="8" t="inlineStr">
        <is>
          <t>EXAMPLE_TRIPLE</t>
        </is>
      </c>
      <c r="B5" s="8" t="inlineStr">
        <is>
          <t>Monochrome Line</t>
        </is>
      </c>
      <c r="C5" s="8" t="inlineStr">
        <is>
          <t>LINE_CONTAINS</t>
        </is>
      </c>
      <c r="D5" s="8" t="inlineStr">
        <is>
          <t>EMOTION_COUNT</t>
        </is>
      </c>
      <c r="E5" s="8" t="inlineStr">
        <is>
          <t>&gt;=</t>
        </is>
      </c>
      <c r="F5" s="8" t="n">
        <v>3</v>
      </c>
      <c r="G5" s="8" t="inlineStr">
        <is>
          <t>LINE</t>
        </is>
      </c>
      <c r="H5" s="8" t="inlineStr">
        <is>
          <t>DMG_MULT</t>
        </is>
      </c>
      <c r="I5" s="8" t="n">
        <v>1.5</v>
      </c>
      <c r="J5" s="8" t="inlineStr">
        <is>
          <t>ALL_STATIONS</t>
        </is>
      </c>
      <c r="K5" s="8" t="n">
        <v>10</v>
      </c>
      <c r="L5" s="8" t="n">
        <v>0</v>
      </c>
      <c r="M5" s="8" t="inlineStr">
        <is>
          <t>EXAMPLE ROW — three stations of one emotion in a line hit 50% harder. enabled=0.</t>
        </is>
      </c>
    </row>
    <row r="6">
      <c r="A6" s="8" t="inlineStr">
        <is>
          <t>EXAMPLE_CHAIN</t>
        </is>
      </c>
      <c r="B6" s="8" t="inlineStr">
        <is>
          <t>Grief After Rage</t>
        </is>
      </c>
      <c r="C6" s="8" t="inlineStr">
        <is>
          <t>PREV_STATION</t>
        </is>
      </c>
      <c r="D6" s="8" t="inlineStr">
        <is>
          <t>EMOTION</t>
        </is>
      </c>
      <c r="E6" s="8">
        <f>=</f>
        <v/>
      </c>
      <c r="F6" s="8" t="inlineStr">
        <is>
          <t>ANGER</t>
        </is>
      </c>
      <c r="G6" s="8" t="inlineStr">
        <is>
          <t>STATION</t>
        </is>
      </c>
      <c r="H6" s="8" t="inlineStr">
        <is>
          <t>EC_MULT</t>
        </is>
      </c>
      <c r="I6" s="8" t="n">
        <v>2</v>
      </c>
      <c r="J6" s="8" t="inlineStr">
        <is>
          <t>THIS_STATION</t>
        </is>
      </c>
      <c r="K6" s="8" t="n">
        <v>20</v>
      </c>
      <c r="L6" s="8" t="n">
        <v>0</v>
      </c>
      <c r="M6" s="8" t="inlineStr">
        <is>
          <t>EXAMPLE ROW — a station firing straight after an Anger station gives double charge. enabled=0.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78" customWidth="1" min="3" max="3"/>
  </cols>
  <sheetData>
    <row r="1">
      <c r="A1" s="4" t="inlineStr">
        <is>
          <t>Global tunables. Keys are read by name — renaming one breaks whatever reads it.</t>
        </is>
      </c>
    </row>
    <row r="3">
      <c r="A3" s="5" t="inlineStr">
        <is>
          <t>key</t>
        </is>
      </c>
      <c r="B3" s="5" t="inlineStr">
        <is>
          <t>value</t>
        </is>
      </c>
      <c r="C3" s="5" t="inlineStr">
        <is>
          <t>description</t>
        </is>
      </c>
    </row>
    <row r="4">
      <c r="A4" s="6" t="inlineStr">
        <is>
          <t>LIVE</t>
        </is>
      </c>
      <c r="B4" s="6" t="inlineStr">
        <is>
          <t>LIVE</t>
        </is>
      </c>
      <c r="C4" s="7" t="inlineStr">
        <is>
          <t>planned</t>
        </is>
      </c>
    </row>
    <row r="5">
      <c r="A5" s="8" t="inlineStr">
        <is>
          <t>lineCap</t>
        </is>
      </c>
      <c r="B5" s="8" t="n">
        <v>3</v>
      </c>
      <c r="C5" s="8" t="inlineStr">
        <is>
          <t>FALLBACK line size, used only if a unit row leaves line_cap blank.</t>
        </is>
      </c>
    </row>
    <row r="6">
      <c r="A6" s="8" t="inlineStr">
        <is>
          <t>maxLayers</t>
        </is>
      </c>
      <c r="B6" s="8" t="n">
        <v>6</v>
      </c>
      <c r="C6" s="8" t="inlineStr">
        <is>
          <t>Layer slots per unit.</t>
        </is>
      </c>
    </row>
    <row r="7">
      <c r="A7" s="8" t="inlineStr">
        <is>
          <t>restEc</t>
        </is>
      </c>
      <c r="B7" s="8" t="n">
        <v>15</v>
      </c>
      <c r="C7" s="8" t="inlineStr">
        <is>
          <t>Charge gained by departing with an empty line.</t>
        </is>
      </c>
    </row>
    <row r="8">
      <c r="A8" s="8" t="inlineStr">
        <is>
          <t>ecBasis</t>
        </is>
      </c>
      <c r="B8" s="8" t="inlineStr">
        <is>
          <t>POWER</t>
        </is>
      </c>
      <c r="C8" s="8" t="inlineStr">
        <is>
          <t>POWER = charge figured from the ability's base power. DEALT = from damage actually dealt.</t>
        </is>
      </c>
    </row>
    <row r="9">
      <c r="A9" s="8" t="inlineStr">
        <is>
          <t>noLayerDmgMult</t>
        </is>
      </c>
      <c r="B9" s="8" t="n">
        <v>1</v>
      </c>
      <c r="C9" s="8" t="inlineStr">
        <is>
          <t>Superseded by the matchups sheet; kept as a fallback.</t>
        </is>
      </c>
    </row>
    <row r="10">
      <c r="A10" s="8" t="inlineStr">
        <is>
          <t>noLayerEcMult</t>
        </is>
      </c>
      <c r="B10" s="8" t="n">
        <v>0</v>
      </c>
      <c r="C10" s="8" t="inlineStr">
        <is>
          <t>Superseded by the matchups sheet; kept as a fallback.</t>
        </is>
      </c>
    </row>
    <row r="11">
      <c r="A11" s="8" t="inlineStr">
        <is>
          <t>shieldRotatesLayer</t>
        </is>
      </c>
      <c r="B11" s="8" t="n">
        <v>0</v>
      </c>
      <c r="C11" s="8" t="inlineStr">
        <is>
          <t>Whether a blocked attack still rotates the layer queue.</t>
        </is>
      </c>
    </row>
    <row r="12">
      <c r="A12" s="8" t="inlineStr">
        <is>
          <t>lowMsWarnPct</t>
        </is>
      </c>
      <c r="B12" s="8" t="n">
        <v>0.18</v>
      </c>
      <c r="C12" s="8" t="inlineStr">
        <is>
          <t>Below this fraction of max MS the ceiling chevron pulses red.</t>
        </is>
      </c>
    </row>
    <row r="13">
      <c r="A13" s="8" t="inlineStr">
        <is>
          <t>clashSeconds</t>
        </is>
      </c>
      <c r="B13" s="8" t="n">
        <v>4</v>
      </c>
      <c r="C13" s="8" t="inlineStr">
        <is>
          <t>Length of the death sequence.</t>
        </is>
      </c>
    </row>
    <row r="14">
      <c r="A14" s="8" t="inlineStr">
        <is>
          <t>layerRegenAtTurnEnd</t>
        </is>
      </c>
      <c r="B14" s="8" t="n">
        <v>1</v>
      </c>
      <c r="C14" s="8" t="inlineStr">
        <is>
          <t>Broken layers stay gone until the round ends, then regrow at the back of the queue.</t>
        </is>
      </c>
    </row>
    <row r="15">
      <c r="A15" s="8" t="inlineStr">
        <is>
          <t>chargeStepMs</t>
        </is>
      </c>
      <c r="B15" s="8" t="n">
        <v>260</v>
      </c>
      <c r="C15" s="8" t="inlineStr">
        <is>
          <t>How long each charge segment holds before the next.</t>
        </is>
      </c>
    </row>
    <row r="16">
      <c r="A16" s="8" t="inlineStr">
        <is>
          <t>flyMs</t>
        </is>
      </c>
      <c r="B16" s="8" t="n">
        <v>120</v>
      </c>
      <c r="C16" s="8" t="inlineStr">
        <is>
          <t>How long a station takes to fly across and strike the target.</t>
        </is>
      </c>
    </row>
    <row r="17">
      <c r="A17" s="8" t="inlineStr">
        <is>
          <t>typeMs</t>
        </is>
      </c>
      <c r="B17" s="8" t="n">
        <v>32</v>
      </c>
      <c r="C17" s="8" t="inlineStr">
        <is>
          <t>Delay between letters of dialogue.</t>
        </is>
      </c>
    </row>
    <row r="18">
      <c r="A18" s="8" t="inlineStr">
        <is>
          <t>dialogueHoldMs</t>
        </is>
      </c>
      <c r="B18" s="8" t="n">
        <v>3000</v>
      </c>
      <c r="C18" s="8" t="inlineStr">
        <is>
          <t>How long a finished line stays on screen before it fades.</t>
        </is>
      </c>
    </row>
    <row r="19">
      <c r="A19" s="8" t="inlineStr">
        <is>
          <t>lowHpTalkPct</t>
        </is>
      </c>
      <c r="B19" s="8" t="n">
        <v>0.2</v>
      </c>
      <c r="C19" s="8" t="inlineStr">
        <is>
          <t>Fraction of max MS below which the winning / losing lines fire.</t>
        </is>
      </c>
    </row>
    <row r="20">
      <c r="A20" s="8" t="inlineStr">
        <is>
          <t>overloadSlotPer</t>
        </is>
      </c>
      <c r="B20" s="8" t="n">
        <v>0.25</v>
      </c>
      <c r="C20" s="8" t="inlineStr">
        <is>
          <t>Every this-much overflow (as a fraction of max MS) forces one more corrupted slot.</t>
        </is>
      </c>
    </row>
    <row r="21">
      <c r="A21" s="8" t="inlineStr">
        <is>
          <t>aiVarietyChance</t>
        </is>
      </c>
      <c r="B21" s="8" t="n">
        <v>0.22</v>
      </c>
      <c r="C21" s="8" t="inlineStr">
        <is>
          <t>Chance the AI takes a random affordable attack instead of its best one.</t>
        </is>
      </c>
    </row>
    <row r="22">
      <c r="A22" s="8" t="inlineStr">
        <is>
          <t>aiDebuffChance</t>
        </is>
      </c>
      <c r="B22" s="8" t="n">
        <v>0.5</v>
      </c>
      <c r="C22" s="8" t="inlineStr">
        <is>
          <t>Chance the AI spends a slot on a debuff the target is not already suffering.</t>
        </is>
      </c>
    </row>
    <row r="23">
      <c r="A23" s="8" t="inlineStr">
        <is>
          <t>aiChargeBias</t>
        </is>
      </c>
      <c r="B23" s="8" t="n">
        <v>0.55</v>
      </c>
      <c r="C23" s="8" t="inlineStr">
        <is>
          <t>Chance the AI prefers an ability with charge segments when it can afford one.</t>
        </is>
      </c>
    </row>
    <row r="24">
      <c r="A24" s="8" t="inlineStr">
        <is>
          <t>shuffleLayersEachRound</t>
        </is>
      </c>
      <c r="B24" s="8" t="n">
        <v>1</v>
      </c>
      <c r="C24" s="8" t="inlineStr">
        <is>
          <t>Re-order every unit's layer queue at the start of each round.</t>
        </is>
      </c>
    </row>
    <row r="25">
      <c r="A25" s="8" t="inlineStr">
        <is>
          <t>maxExtraSlots</t>
        </is>
      </c>
      <c r="B25" s="8" t="n">
        <v>6</v>
      </c>
      <c r="C25" s="8" t="inlineStr">
        <is>
          <t>Hard cap on extra slots of any kind a line may carry.</t>
        </is>
      </c>
    </row>
    <row r="26">
      <c r="A26" s="8" t="inlineStr">
        <is>
          <t>loadoutPatternAlpha</t>
        </is>
      </c>
      <c r="B26" s="8" t="n">
        <v>0.13</v>
      </c>
      <c r="C26" s="8" t="inlineStr">
        <is>
          <t>How faint the emotion glyph tiled behind a Loadout button is.</t>
        </is>
      </c>
    </row>
    <row r="27">
      <c r="A27" s="8" t="inlineStr">
        <is>
          <t>loadoutSlots</t>
        </is>
      </c>
      <c r="B27" s="8" t="n">
        <v>4</v>
      </c>
      <c r="C27" s="8" t="inlineStr">
        <is>
          <t>Ability slots in one Loadout, and so cells per page.</t>
        </is>
      </c>
    </row>
    <row r="28">
      <c r="A28" s="8" t="inlineStr">
        <is>
          <t>equippedSlots</t>
        </is>
      </c>
      <c r="B28" s="8" t="n">
        <v>3</v>
      </c>
      <c r="C28" s="8" t="inlineStr">
        <is>
          <t>Loadouts the player carries into a battle.</t>
        </is>
      </c>
    </row>
    <row r="29">
      <c r="A29" s="8" t="inlineStr">
        <is>
          <t>slotArriveMs</t>
        </is>
      </c>
      <c r="B29" s="8" t="n">
        <v>260</v>
      </c>
      <c r="C29" s="8" t="inlineStr">
        <is>
          <t>Gap between one temporary slot flying in and the next.</t>
        </is>
      </c>
    </row>
    <row r="30">
      <c r="A30" s="8" t="inlineStr">
        <is>
          <t>impactFlashMs</t>
        </is>
      </c>
      <c r="B30" s="8" t="n">
        <v>45</v>
      </c>
      <c r="C30" s="8" t="inlineStr">
        <is>
          <t>White frame on a hit.</t>
        </is>
      </c>
    </row>
    <row r="31">
      <c r="A31" s="8" t="inlineStr">
        <is>
          <t>impactShakeMs</t>
        </is>
      </c>
      <c r="B31" s="8" t="n">
        <v>85</v>
      </c>
      <c r="C31" s="8" t="inlineStr">
        <is>
          <t>Shake after that white frame.</t>
        </is>
      </c>
    </row>
    <row r="32">
      <c r="A32" s="8" t="inlineStr">
        <is>
          <t>stunTurns</t>
        </is>
      </c>
      <c r="B32" s="8" t="n">
        <v>1</v>
      </c>
      <c r="C32" s="8" t="inlineStr">
        <is>
          <t>Turns a unit is stunned for once its last layer breaks. It skips its line and regrows nothing.</t>
        </is>
      </c>
    </row>
    <row r="33">
      <c r="A33" s="8" t="inlineStr">
        <is>
          <t>lineTravelMs</t>
        </is>
      </c>
      <c r="B33" s="8" t="n">
        <v>200</v>
      </c>
      <c r="C33" s="8" t="inlineStr">
        <is>
          <t>How long the line takes to slide the next station to the centre.</t>
        </is>
      </c>
    </row>
    <row r="34">
      <c r="A34" s="8" t="inlineStr">
        <is>
          <t>lineFlashMs</t>
        </is>
      </c>
      <c r="B34" s="8" t="n">
        <v>90</v>
      </c>
      <c r="C34" s="8" t="inlineStr">
        <is>
          <t>How long a centred station flashes before it strikes.</t>
        </is>
      </c>
    </row>
    <row r="35">
      <c r="A35" s="8" t="inlineStr">
        <is>
          <t>chargeShownMax</t>
        </is>
      </c>
      <c r="B35" s="8" t="n">
        <v>2</v>
      </c>
      <c r="C35" s="8" t="inlineStr">
        <is>
          <t>Most charge stations drawn in an ability box; beyond this it just repeats.</t>
        </is>
      </c>
    </row>
    <row r="36">
      <c r="A36" s="8" t="inlineStr">
        <is>
          <t>critChance</t>
        </is>
      </c>
      <c r="B36" s="8" t="n">
        <v>0.05</v>
      </c>
      <c r="C36" s="8" t="inlineStr">
        <is>
          <t>Default chance an attack crits, when the ability does not say otherwise.</t>
        </is>
      </c>
    </row>
    <row r="37">
      <c r="A37" s="8" t="inlineStr">
        <is>
          <t>frameMaxW</t>
        </is>
      </c>
      <c r="B37" s="8" t="n">
        <v>420</v>
      </c>
      <c r="C37" s="8" t="inlineStr">
        <is>
          <t>The phone frame's widest; nothing drawn for it may exceed this.</t>
        </is>
      </c>
    </row>
    <row r="38">
      <c r="A38" s="8" t="inlineStr">
        <is>
          <t>momentPx</t>
        </is>
      </c>
      <c r="B38" s="8" t="n">
        <v>2</v>
      </c>
      <c r="C38" s="8" t="inlineStr">
        <is>
          <t>Upscale of the title screen's mood line: bigger = chunkier pixels.</t>
        </is>
      </c>
    </row>
    <row r="39">
      <c r="A39" s="8" t="inlineStr">
        <is>
          <t>momentSize</t>
        </is>
      </c>
      <c r="B39" s="8" t="n">
        <v>10</v>
      </c>
      <c r="C39" s="8" t="inlineStr">
        <is>
          <t>LOGICAL type size; what you see is this times momentPx.</t>
        </is>
      </c>
    </row>
    <row r="40">
      <c r="A40" s="8" t="inlineStr">
        <is>
          <t>critTagMs</t>
        </is>
      </c>
      <c r="B40" s="8" t="n">
        <v>700</v>
      </c>
      <c r="C40" s="8" t="inlineStr">
        <is>
          <t>How long a plain positioned tag stays up.</t>
        </is>
      </c>
    </row>
    <row r="41">
      <c r="A41" s="8" t="inlineStr">
        <is>
          <t>critHoldMs</t>
        </is>
      </c>
      <c r="B41" s="8" t="n">
        <v>1000</v>
      </c>
      <c r="C41" s="8" t="inlineStr">
        <is>
          <t>How long CRITICAL is held before the earned slot flies in.</t>
        </is>
      </c>
    </row>
    <row r="42">
      <c r="A42" s="8" t="inlineStr">
        <is>
          <t>critFlashMs</t>
        </is>
      </c>
      <c r="B42" s="8" t="n">
        <v>260</v>
      </c>
      <c r="C42" s="8" t="inlineStr">
        <is>
          <t>One wash of the screen in the attacking emotion's colour.</t>
        </is>
      </c>
    </row>
    <row r="43">
      <c r="A43" s="8" t="inlineStr">
        <is>
          <t>critSlotFlyMs</t>
        </is>
      </c>
      <c r="B43" s="8" t="n">
        <v>520</v>
      </c>
      <c r="C43" s="8" t="inlineStr">
        <is>
          <t>The earned slot travelling from the tag to the line.</t>
        </is>
      </c>
    </row>
    <row r="44">
      <c r="A44" s="8" t="inlineStr">
        <is>
          <t>critMult</t>
        </is>
      </c>
      <c r="B44" s="8" t="n">
        <v>2</v>
      </c>
      <c r="C44" s="8" t="inlineStr">
        <is>
          <t>Damage multiplier on a critical.</t>
        </is>
      </c>
    </row>
    <row r="45">
      <c r="A45" s="8" t="inlineStr">
        <is>
          <t>statusStepMs</t>
        </is>
      </c>
      <c r="B45" s="8" t="n">
        <v>2000</v>
      </c>
      <c r="C45" s="8" t="inlineStr">
        <is>
          <t>A station that applies a status holds this long, so it can be read.</t>
        </is>
      </c>
    </row>
    <row r="46">
      <c r="A46" s="8" t="inlineStr">
        <is>
          <t>attackStepMs</t>
        </is>
      </c>
      <c r="B46" s="8" t="n">
        <v>600</v>
      </c>
      <c r="C46" s="8" t="inlineStr">
        <is>
          <t>Total time one executed station takes, start to finish.</t>
        </is>
      </c>
    </row>
    <row r="47">
      <c r="A47" s="8" t="inlineStr">
        <is>
          <t>lineAlertFlashes</t>
        </is>
      </c>
      <c r="B47" s="8" t="n">
        <v>3</v>
      </c>
      <c r="C47" s="8" t="inlineStr">
        <is>
          <t>How many times a line flashes white before it starts executing.</t>
        </is>
      </c>
    </row>
    <row r="48">
      <c r="A48" s="8" t="inlineStr">
        <is>
          <t>lineAlertMs</t>
        </is>
      </c>
      <c r="B48" s="8" t="n">
        <v>110</v>
      </c>
      <c r="C48" s="8" t="inlineStr">
        <is>
          <t>Length of one of those flashes.</t>
        </is>
      </c>
    </row>
    <row r="49">
      <c r="A49" s="8" t="inlineStr">
        <is>
          <t>unsheathMs</t>
        </is>
      </c>
      <c r="B49" s="8" t="n">
        <v>340</v>
      </c>
      <c r="C49" s="8" t="inlineStr">
        <is>
          <t>How long one interface element takes to draw itself into place.</t>
        </is>
      </c>
    </row>
    <row r="50">
      <c r="A50" s="8" t="inlineStr">
        <is>
          <t>unsheathGapMs</t>
        </is>
      </c>
      <c r="B50" s="8" t="n">
        <v>110</v>
      </c>
      <c r="C50" s="8" t="inlineStr">
        <is>
          <t>Gap before the next element starts — smaller than unsheathMs, so they overlap.</t>
        </is>
      </c>
    </row>
    <row r="51">
      <c r="A51" s="8" t="inlineStr">
        <is>
          <t>longPressMs</t>
        </is>
      </c>
      <c r="B51" s="8" t="n">
        <v>420</v>
      </c>
      <c r="C51" s="8" t="inlineStr">
        <is>
          <t>How long an ability must be held before its tooltip opens.</t>
        </is>
      </c>
    </row>
    <row r="52">
      <c r="A52" s="8" t="inlineStr">
        <is>
          <t>swipeMinPx</t>
        </is>
      </c>
      <c r="B52" s="8" t="n">
        <v>36</v>
      </c>
      <c r="C52" s="8" t="inlineStr">
        <is>
          <t>How far a pointer must travel across the panel to count as a page swipe.</t>
        </is>
      </c>
    </row>
    <row r="53">
      <c r="A53" s="8" t="inlineStr">
        <is>
          <t>tagGrowth</t>
        </is>
      </c>
      <c r="B53" s="8" t="n">
        <v>0.85</v>
      </c>
      <c r="C53" s="8" t="inlineStr">
        <is>
          <t>How much an accumulating tag grows once it holds a full max-MS worth of change.</t>
        </is>
      </c>
    </row>
    <row r="54">
      <c r="A54" s="8" t="inlineStr">
        <is>
          <t>tagBreathSlowMs</t>
        </is>
      </c>
      <c r="B54" s="8" t="n">
        <v>1700</v>
      </c>
      <c r="C54" s="8" t="inlineStr">
        <is>
          <t>Breathing period of an accumulating tag holding almost nothing.</t>
        </is>
      </c>
    </row>
    <row r="55">
      <c r="A55" s="8" t="inlineStr">
        <is>
          <t>tagBreathFastMs</t>
        </is>
      </c>
      <c r="B55" s="8" t="n">
        <v>380</v>
      </c>
      <c r="C55" s="8" t="inlineStr">
        <is>
          <t>Breathing period of a tag holding a full max-MS worth — it flashes far harder.</t>
        </is>
      </c>
    </row>
    <row r="56">
      <c r="A56" s="8" t="inlineStr">
        <is>
          <t>gaugeW</t>
        </is>
      </c>
      <c r="B56" s="8" t="n">
        <v>134</v>
      </c>
      <c r="C56" s="8" t="inlineStr">
        <is>
          <t>Gauge canvas width in logical pixels. Lower = chunkier pixels, coarser value steps.</t>
        </is>
      </c>
    </row>
    <row r="57">
      <c r="A57" s="8" t="inlineStr">
        <is>
          <t>gaugeH</t>
        </is>
      </c>
      <c r="B57" s="8" t="n">
        <v>22</v>
      </c>
      <c r="C57" s="8" t="inlineStr">
        <is>
          <t>Gauge canvas height in logical pixels — tall enough for the end caps.</t>
        </is>
      </c>
    </row>
    <row r="58">
      <c r="A58" s="8" t="inlineStr">
        <is>
          <t>barCoreH</t>
        </is>
      </c>
      <c r="B58" s="8" t="n">
        <v>12</v>
      </c>
      <c r="C58" s="8" t="inlineStr">
        <is>
          <t>Height of the bar's interior, before the wave, in logical pixels.</t>
        </is>
      </c>
    </row>
    <row r="59">
      <c r="A59" s="8" t="inlineStr">
        <is>
          <t>barWaveAmp</t>
        </is>
      </c>
      <c r="B59" s="8" t="n">
        <v>1.4</v>
      </c>
      <c r="C59" s="8" t="inlineStr">
        <is>
          <t>Wave amplitude on the bar's silhouette (reference: 9.8 of a 1026-long bar).</t>
        </is>
      </c>
    </row>
    <row r="60">
      <c r="A60" s="8" t="inlineStr">
        <is>
          <t>barWaveHalf</t>
        </is>
      </c>
      <c r="B60" s="8" t="n">
        <v>5.6</v>
      </c>
      <c r="C60" s="8" t="inlineStr">
        <is>
          <t>Half-period of the silhouette wave, i.e. one arc (reference: 43.3).</t>
        </is>
      </c>
    </row>
    <row r="61">
      <c r="A61" s="8" t="inlineStr">
        <is>
          <t>barWaveSpeed</t>
        </is>
      </c>
      <c r="B61" s="8" t="n">
        <v>0.1</v>
      </c>
      <c r="C61" s="8" t="inlineStr">
        <is>
          <t>How fast the silhouette wave travels.</t>
        </is>
      </c>
    </row>
    <row r="62">
      <c r="A62" s="8" t="inlineStr">
        <is>
          <t>ecBandFrac</t>
        </is>
      </c>
      <c r="B62" s="8" t="n">
        <v>0.82</v>
      </c>
      <c r="C62" s="8" t="inlineStr">
        <is>
          <t>Charge fill height as a fraction of the bar interior (reference: 76 of 92.74).</t>
        </is>
      </c>
    </row>
    <row r="63">
      <c r="A63" s="8" t="inlineStr">
        <is>
          <t>ecWaveAmp</t>
        </is>
      </c>
      <c r="B63" s="8" t="n">
        <v>0.7</v>
      </c>
      <c r="C63" s="8" t="inlineStr">
        <is>
          <t>Amplitude of the charge fill's own wave — long and shallow, per the reference.</t>
        </is>
      </c>
    </row>
    <row r="64">
      <c r="A64" s="8" t="inlineStr">
        <is>
          <t>ecWaveHalf</t>
        </is>
      </c>
      <c r="B64" s="8" t="n">
        <v>19</v>
      </c>
      <c r="C64" s="8" t="inlineStr">
        <is>
          <t>Half-period of the charge fill's wave. Much longer than the silhouette's.</t>
        </is>
      </c>
    </row>
    <row r="65">
      <c r="A65" s="8" t="inlineStr">
        <is>
          <t>ecWaveSpeed</t>
        </is>
      </c>
      <c r="B65" s="8" t="n">
        <v>0.05</v>
      </c>
      <c r="C65" s="8" t="inlineStr">
        <is>
          <t>How fast the charge wave travels.</t>
        </is>
      </c>
    </row>
    <row r="66">
      <c r="A66" s="8" t="inlineStr">
        <is>
          <t>ecInnerFrac</t>
        </is>
      </c>
      <c r="B66" s="8" t="n">
        <v>0.5</v>
      </c>
      <c r="C66" s="8" t="inlineStr">
        <is>
          <t>Inner charge bar thickness, as a fraction of the outer one. Same shape, dodged over it.</t>
        </is>
      </c>
    </row>
    <row r="67">
      <c r="A67" s="8" t="inlineStr">
        <is>
          <t>ecInnerAmt</t>
        </is>
      </c>
      <c r="B67" s="8" t="n">
        <v>0.4</v>
      </c>
      <c r="C67" s="8" t="inlineStr">
        <is>
          <t>How hard the inner charge bar dodges. 1 blows out to white; lower keeps the hue.</t>
        </is>
      </c>
    </row>
    <row r="68">
      <c r="A68" s="8" t="inlineStr">
        <is>
          <t>arcSpacing</t>
        </is>
      </c>
      <c r="B68" s="8" t="n">
        <v>3.1</v>
      </c>
      <c r="C68" s="8" t="inlineStr">
        <is>
          <t>Spacing of the background arc texture (reference: 23.83).</t>
        </is>
      </c>
    </row>
    <row r="69">
      <c r="A69" s="8" t="inlineStr">
        <is>
          <t>arcRadius</t>
        </is>
      </c>
      <c r="B69" s="8" t="n">
        <v>12.6</v>
      </c>
      <c r="C69" s="8" t="inlineStr">
        <is>
          <t>Radius of the background arcs (reference: 96.95).</t>
        </is>
      </c>
    </row>
    <row r="70">
      <c r="A70" s="8" t="inlineStr">
        <is>
          <t>arcAlpha</t>
        </is>
      </c>
      <c r="B70" s="8" t="n">
        <v>0.11</v>
      </c>
      <c r="C70" s="8" t="inlineStr">
        <is>
          <t>How strongly the arcs show. They only read against the unlit stretch.</t>
        </is>
      </c>
    </row>
    <row r="71">
      <c r="A71" s="8" t="inlineStr">
        <is>
          <t>capW</t>
        </is>
      </c>
      <c r="B71" s="8" t="n">
        <v>5</v>
      </c>
      <c r="C71" s="8" t="inlineStr">
        <is>
          <t>End-cap width in logical pixels.</t>
        </is>
      </c>
    </row>
    <row r="72">
      <c r="A72" s="8" t="inlineStr">
        <is>
          <t>capR</t>
        </is>
      </c>
      <c r="B72" s="8" t="n">
        <v>2</v>
      </c>
      <c r="C72" s="8" t="inlineStr">
        <is>
          <t>End-cap corner rounding in logical pixels.</t>
        </is>
      </c>
    </row>
    <row r="73">
      <c r="A73" s="8" t="inlineStr">
        <is>
          <t>ballFlyMs</t>
        </is>
      </c>
      <c r="B73" s="8" t="n">
        <v>330</v>
      </c>
      <c r="C73" s="8" t="inlineStr">
        <is>
          <t>How long a ball of light takes to arc from its indicator into the bar.</t>
        </is>
      </c>
    </row>
    <row r="74">
      <c r="A74" s="8" t="inlineStr">
        <is>
          <t>settleStepMs</t>
        </is>
      </c>
      <c r="B74" s="8" t="n">
        <v>70</v>
      </c>
      <c r="C74" s="8" t="inlineStr">
        <is>
          <t>Pause between one hit landing on a bar and the next setting off.</t>
        </is>
      </c>
    </row>
    <row r="75">
      <c r="A75" s="8" t="inlineStr">
        <is>
          <t>fnumMinPx</t>
        </is>
      </c>
      <c r="B75" s="8" t="n">
        <v>20</v>
      </c>
      <c r="C75" s="8" t="inlineStr">
        <is>
          <t>Smallest a floating damage number gets.</t>
        </is>
      </c>
    </row>
    <row r="76">
      <c r="A76" s="8" t="inlineStr">
        <is>
          <t>fnumMaxPx</t>
        </is>
      </c>
      <c r="B76" s="8" t="n">
        <v>62</v>
      </c>
      <c r="C76" s="8" t="inlineStr">
        <is>
          <t>Largest — reached when one hit costs a whole stamina bar.</t>
        </is>
      </c>
    </row>
    <row r="77">
      <c r="A77" s="8" t="inlineStr">
        <is>
          <t>fnumRisePx</t>
        </is>
      </c>
      <c r="B77" s="8" t="n">
        <v>34</v>
      </c>
      <c r="C77" s="8" t="inlineStr">
        <is>
          <t>How far a floating number travels up before it settles.</t>
        </is>
      </c>
    </row>
    <row r="78">
      <c r="A78" s="8" t="inlineStr">
        <is>
          <t>fnumInMs</t>
        </is>
      </c>
      <c r="B78" s="8" t="n">
        <v>600</v>
      </c>
      <c r="C78" s="8" t="inlineStr">
        <is>
          <t>Fade in while rising.</t>
        </is>
      </c>
    </row>
    <row r="79">
      <c r="A79" s="8" t="inlineStr">
        <is>
          <t>fnumHoldMs</t>
        </is>
      </c>
      <c r="B79" s="8" t="n">
        <v>600</v>
      </c>
      <c r="C79" s="8" t="inlineStr">
        <is>
          <t>Easing to a stop.</t>
        </is>
      </c>
    </row>
    <row r="80">
      <c r="A80" s="8" t="inlineStr">
        <is>
          <t>fnumOutMs</t>
        </is>
      </c>
      <c r="B80" s="8" t="n">
        <v>400</v>
      </c>
      <c r="C80" s="8" t="inlineStr">
        <is>
          <t>Fade out.</t>
        </is>
      </c>
    </row>
    <row r="81">
      <c r="A81" s="8" t="inlineStr">
        <is>
          <t>fnumLingerMs</t>
        </is>
      </c>
      <c r="B81" s="8" t="n">
        <v>300</v>
      </c>
      <c r="C81" s="8" t="inlineStr">
        <is>
          <t>Extra time a floating number holds before it goes.</t>
        </is>
      </c>
    </row>
    <row r="82">
      <c r="A82" s="8" t="inlineStr">
        <is>
          <t>hitShards</t>
        </is>
      </c>
      <c r="B82" s="8" t="n">
        <v>3</v>
      </c>
      <c r="C82" s="8" t="inlineStr">
        <is>
          <t>Shapes thrown off where an attack lands.</t>
        </is>
      </c>
    </row>
    <row r="83">
      <c r="A83" s="8" t="inlineStr">
        <is>
          <t>hitShardMs</t>
        </is>
      </c>
      <c r="B83" s="8" t="n">
        <v>260</v>
      </c>
      <c r="C83" s="8" t="inlineStr">
        <is>
          <t>How long one of those shapes flashes.</t>
        </is>
      </c>
    </row>
    <row r="84">
      <c r="A84" s="8" t="inlineStr">
        <is>
          <t>actionLineMs</t>
        </is>
      </c>
      <c r="B84" s="8" t="n">
        <v>620</v>
      </c>
      <c r="C84" s="8" t="inlineStr">
        <is>
          <t>Buff / debuff streaks over the target.</t>
        </is>
      </c>
    </row>
    <row r="85">
      <c r="A85" s="8" t="inlineStr">
        <is>
          <t>statusFxMs</t>
        </is>
      </c>
      <c r="B85" s="8" t="n">
        <v>1000</v>
      </c>
      <c r="C85" s="8" t="inlineStr">
        <is>
          <t>Distortion and bloom when a status takes hold.</t>
        </is>
      </c>
    </row>
    <row r="86">
      <c r="A86" s="8" t="inlineStr">
        <is>
          <t>backdropGlow</t>
        </is>
      </c>
      <c r="B86" s="8" t="n">
        <v>0.55</v>
      </c>
      <c r="C86" s="8" t="inlineStr">
        <is>
          <t>How strongly the enemy's emotion tints the battle backdrop.</t>
        </is>
      </c>
    </row>
    <row r="87">
      <c r="A87" s="8" t="inlineStr">
        <is>
          <t>barTweenMs</t>
        </is>
      </c>
      <c r="B87" s="8" t="n">
        <v>1000</v>
      </c>
      <c r="C87" s="8" t="inlineStr">
        <is>
          <t>How long a bar takes to travel to its new value once a hit lands.</t>
        </is>
      </c>
    </row>
    <row r="88">
      <c r="A88" s="8" t="inlineStr">
        <is>
          <t>overloadHoldMs</t>
        </is>
      </c>
      <c r="B88" s="8" t="n">
        <v>2000</v>
      </c>
      <c r="C88" s="8" t="inlineStr">
        <is>
          <t>How long the OVERLOAD tag and its slow motion last.</t>
        </is>
      </c>
    </row>
    <row r="89">
      <c r="A89" s="8" t="inlineStr">
        <is>
          <t>ecScrollSpeed</t>
        </is>
      </c>
      <c r="B89" s="8" t="n">
        <v>0.0044</v>
      </c>
      <c r="C89" s="8" t="inlineStr">
        <is>
          <t>How fast the charge gradient drifts along the bar.</t>
        </is>
      </c>
    </row>
    <row r="90">
      <c r="A90" s="8" t="inlineStr">
        <is>
          <t>themeOpening</t>
        </is>
      </c>
      <c r="B90" s="8" t="inlineStr">
        <is>
          <t>audio/theme-opening.wav</t>
        </is>
      </c>
      <c r="C90" s="8" t="inlineStr">
        <is>
          <t>Theme part 1: plays once.</t>
        </is>
      </c>
    </row>
    <row r="91">
      <c r="A91" s="8" t="inlineStr">
        <is>
          <t>themeLoop</t>
        </is>
      </c>
      <c r="B91" s="8" t="inlineStr">
        <is>
          <t>audio/theme-loop.wav</t>
        </is>
      </c>
      <c r="C91" s="8" t="inlineStr">
        <is>
          <t>Theme part 2: loops for ever, scheduled to start the instant part 1 ends.</t>
        </is>
      </c>
    </row>
    <row r="92">
      <c r="A92" s="8" t="inlineStr">
        <is>
          <t>musicFadeMs</t>
        </is>
      </c>
      <c r="B92" s="8" t="n">
        <v>900</v>
      </c>
      <c r="C92" s="8" t="inlineStr">
        <is>
          <t>How quickly the theme fades out when the battle ends.</t>
        </is>
      </c>
    </row>
    <row r="93">
      <c r="A93" s="8" t="inlineStr">
        <is>
          <t>musicVolume</t>
        </is>
      </c>
      <c r="B93" s="8" t="n">
        <v>0.3</v>
      </c>
      <c r="C93" s="8" t="inlineStr">
        <is>
          <t>Theme level. Lower this if the sound effects are getting buried.</t>
        </is>
      </c>
    </row>
    <row r="94">
      <c r="A94" s="8" t="inlineStr">
        <is>
          <t>sfxVolume</t>
        </is>
      </c>
      <c r="B94" s="8" t="n">
        <v>1.05</v>
      </c>
      <c r="C94" s="8" t="inlineStr">
        <is>
          <t>Sound-effect level, mixed against musicVolume.</t>
        </is>
      </c>
    </row>
    <row r="95">
      <c r="A95" s="8" t="inlineStr">
        <is>
          <t>layerEase</t>
        </is>
      </c>
      <c r="B95" s="8" t="n">
        <v>0.16</v>
      </c>
      <c r="C95" s="8" t="inlineStr">
        <is>
          <t>How fast layers slide to their new slot. Higher = snappier.</t>
        </is>
      </c>
    </row>
    <row r="96">
      <c r="A96" s="8" t="inlineStr">
        <is>
          <t>layerWaveDelay</t>
        </is>
      </c>
      <c r="B96" s="8" t="n">
        <v>0.85</v>
      </c>
      <c r="C96" s="8" t="inlineStr">
        <is>
          <t>Phase offset per slot, so breathing travels outward in waves.</t>
        </is>
      </c>
    </row>
    <row r="97">
      <c r="A97" s="8" t="inlineStr">
        <is>
          <t>layerInnerShrink</t>
        </is>
      </c>
      <c r="B97" s="8" t="n">
        <v>0.85</v>
      </c>
      <c r="C97" s="8" t="inlineStr">
        <is>
          <t>Curve of the radius falloff toward the centre.</t>
        </is>
      </c>
    </row>
    <row r="98">
      <c r="A98" s="8" t="inlineStr">
        <is>
          <t>layerFill</t>
        </is>
      </c>
      <c r="B98" s="8" t="n">
        <v>0.42</v>
      </c>
      <c r="C98" s="8" t="inlineStr">
        <is>
          <t>Ring thickness as a fraction of the gap to the next slot.</t>
        </is>
      </c>
    </row>
    <row r="99">
      <c r="A99" s="8" t="inlineStr">
        <is>
          <t>layerOuterThick</t>
        </is>
      </c>
      <c r="B99" s="8" t="n">
        <v>2</v>
      </c>
      <c r="C99" s="8" t="inlineStr">
        <is>
          <t>Thickness multiplier for the outermost (active) layer.</t>
        </is>
      </c>
    </row>
    <row r="100">
      <c r="A100" s="8" t="inlineStr">
        <is>
          <t>layerInnerThick</t>
        </is>
      </c>
      <c r="B100" s="8" t="n">
        <v>0.9</v>
      </c>
      <c r="C100" s="8" t="inlineStr">
        <is>
          <t>Thickness multiplier for every layer behind it.</t>
        </is>
      </c>
    </row>
    <row r="101">
      <c r="A101" s="8" t="inlineStr">
        <is>
          <t>layerFlashMs</t>
        </is>
      </c>
      <c r="B101" s="8" t="n">
        <v>50</v>
      </c>
      <c r="C101" s="8" t="inlineStr">
        <is>
          <t>How long a struck layer flashes white before vanishing.</t>
        </is>
      </c>
    </row>
    <row r="102">
      <c r="A102" s="8" t="inlineStr">
        <is>
          <t>layerGapMs</t>
        </is>
      </c>
      <c r="B102" s="8" t="n">
        <v>18</v>
      </c>
      <c r="C102" s="8" t="inlineStr">
        <is>
          <t>Beat between the layer vanishing and it regrowing at the back.</t>
        </is>
      </c>
    </row>
    <row r="103">
      <c r="A103" s="8" t="inlineStr">
        <is>
          <t>layerRegrowMs</t>
        </is>
      </c>
      <c r="B103" s="8" t="n">
        <v>380</v>
      </c>
      <c r="C103" s="8" t="inlineStr">
        <is>
          <t>How long the regrow beat holds before resolution continues.</t>
        </is>
      </c>
    </row>
    <row r="104">
      <c r="A104" s="8" t="inlineStr">
        <is>
          <t>enemyRingBaseR</t>
        </is>
      </c>
      <c r="B104" s="8" t="n">
        <v>28</v>
      </c>
      <c r="C104" s="8" t="inlineStr">
        <is>
          <t>Enemy: radius of the outermost ring, in logical canvas pixels.</t>
        </is>
      </c>
    </row>
    <row r="105">
      <c r="A105" s="8" t="inlineStr">
        <is>
          <t>enemyRingSpacing</t>
        </is>
      </c>
      <c r="B105" s="8" t="n">
        <v>4.7</v>
      </c>
      <c r="C105" s="8" t="inlineStr">
        <is>
          <t>Enemy: radius step between one layer and the next in. baseR/spacing sets how many fit.</t>
        </is>
      </c>
    </row>
    <row r="106">
      <c r="A106" s="8" t="inlineStr">
        <is>
          <t>enemyRingBreathe</t>
        </is>
      </c>
      <c r="B106" s="8" t="n">
        <v>1.6</v>
      </c>
      <c r="C106" s="8" t="inlineStr">
        <is>
          <t>Enemy ring breathing amplitude.</t>
        </is>
      </c>
    </row>
    <row r="107">
      <c r="A107" s="8" t="inlineStr">
        <is>
          <t>playerRingBaseR</t>
        </is>
      </c>
      <c r="B107" s="8" t="n">
        <v>300</v>
      </c>
      <c r="C107" s="8" t="inlineStr">
        <is>
          <t>Player: radius of the outermost ring. Huge on purpose — a big circle reads as a nearly flat band.</t>
        </is>
      </c>
    </row>
    <row r="108">
      <c r="A108" s="8" t="inlineStr">
        <is>
          <t>playerRingSpacing</t>
        </is>
      </c>
      <c r="B108" s="8" t="n">
        <v>5</v>
      </c>
      <c r="C108" s="8" t="inlineStr">
        <is>
          <t>Player: radius step between layers. Small, so all six sit in a thin arc despite the huge radius.</t>
        </is>
      </c>
    </row>
    <row r="109">
      <c r="A109" s="8" t="inlineStr">
        <is>
          <t>playerRingBreathe</t>
        </is>
      </c>
      <c r="B109" s="8" t="n">
        <v>2.2</v>
      </c>
      <c r="C109" s="8" t="inlineStr">
        <is>
          <t>Player ring breathing amplitude.</t>
        </is>
      </c>
    </row>
    <row r="110">
      <c r="A110" s="8" t="inlineStr">
        <is>
          <t>playerCanvasW</t>
        </is>
      </c>
      <c r="B110" s="8" t="n">
        <v>120</v>
      </c>
      <c r="C110" s="8" t="inlineStr">
        <is>
          <t>Player ring canvas width in logical pixels (wide and short).</t>
        </is>
      </c>
    </row>
    <row r="111">
      <c r="A111" s="8" t="inlineStr">
        <is>
          <t>playerCanvasH</t>
        </is>
      </c>
      <c r="B111" s="8" t="n">
        <v>32</v>
      </c>
      <c r="C111" s="8" t="inlineStr">
        <is>
          <t>Player ring canvas height in logical pixels.</t>
        </is>
      </c>
    </row>
    <row r="112">
      <c r="A112" s="8" t="inlineStr">
        <is>
          <t>playerRingCy</t>
        </is>
      </c>
      <c r="B112" s="8" t="n">
        <v>300</v>
      </c>
      <c r="C112" s="8" t="inlineStr">
        <is>
          <t>Player: circle centre Y, pushed far below the strip so only the flat top of the arc shows.</t>
        </is>
      </c>
    </row>
    <row r="113">
      <c r="A113" s="8" t="inlineStr">
        <is>
          <t>crusherSteps</t>
        </is>
      </c>
      <c r="B113" s="8" t="n">
        <v>12</v>
      </c>
      <c r="C113" s="8" t="inlineStr">
        <is>
          <t>Audio bit-crusher quantisation. Low = Atari harsh, high = SNES-clean.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2" customWidth="1" min="8" max="8"/>
  </cols>
  <sheetData>
    <row r="1">
      <c r="A1" s="4" t="inlineStr">
        <is>
          <t>Every sound is synthesised at runtime — there are no audio files. wave: square | sawtooth | triangle | sine | noise. f0/f1 sweep in Hz over 'dur' ms. 'echo' is how much of the sound feeds the shared delay line. Everything runs through a bit-crusher, which is where the crunch comes from.</t>
        </is>
      </c>
    </row>
    <row r="3">
      <c r="A3" s="5" t="inlineStr">
        <is>
          <t>id</t>
        </is>
      </c>
      <c r="B3" s="5" t="inlineStr">
        <is>
          <t>wave</t>
        </is>
      </c>
      <c r="C3" s="5" t="inlineStr">
        <is>
          <t>f0</t>
        </is>
      </c>
      <c r="D3" s="5" t="inlineStr">
        <is>
          <t>f1</t>
        </is>
      </c>
      <c r="E3" s="5" t="inlineStr">
        <is>
          <t>dur</t>
        </is>
      </c>
      <c r="F3" s="5" t="inlineStr">
        <is>
          <t>gain</t>
        </is>
      </c>
      <c r="G3" s="5" t="inlineStr">
        <is>
          <t>echo</t>
        </is>
      </c>
      <c r="H3" s="5" t="inlineStr">
        <is>
          <t>description</t>
        </is>
      </c>
    </row>
    <row r="4">
      <c r="A4" s="6" t="inlineStr">
        <is>
          <t>LIVE</t>
        </is>
      </c>
      <c r="B4" s="6" t="inlineStr">
        <is>
          <t>LIVE</t>
        </is>
      </c>
      <c r="C4" s="6" t="inlineStr">
        <is>
          <t>LIVE</t>
        </is>
      </c>
      <c r="D4" s="6" t="inlineStr">
        <is>
          <t>LIVE</t>
        </is>
      </c>
      <c r="E4" s="6" t="inlineStr">
        <is>
          <t>LIVE</t>
        </is>
      </c>
      <c r="F4" s="6" t="inlineStr">
        <is>
          <t>LIVE</t>
        </is>
      </c>
      <c r="G4" s="6" t="inlineStr">
        <is>
          <t>LIVE</t>
        </is>
      </c>
      <c r="H4" s="7" t="inlineStr">
        <is>
          <t>planned</t>
        </is>
      </c>
    </row>
    <row r="5">
      <c r="A5" s="8" t="inlineStr">
        <is>
          <t>tap</t>
        </is>
      </c>
      <c r="B5" s="8" t="inlineStr">
        <is>
          <t>square</t>
        </is>
      </c>
      <c r="C5" s="8" t="n">
        <v>980</v>
      </c>
      <c r="D5" s="8" t="n">
        <v>1460</v>
      </c>
      <c r="E5" s="8" t="n">
        <v>80</v>
      </c>
      <c r="F5" s="8" t="n">
        <v>0.46</v>
      </c>
      <c r="G5" s="8" t="n">
        <v>0.3</v>
      </c>
      <c r="H5" s="8" t="inlineStr">
        <is>
          <t>Adding an ability to the line.</t>
        </is>
      </c>
    </row>
    <row r="6">
      <c r="A6" s="8" t="inlineStr">
        <is>
          <t>place</t>
        </is>
      </c>
      <c r="B6" s="8" t="inlineStr">
        <is>
          <t>square</t>
        </is>
      </c>
      <c r="C6" s="8" t="n">
        <v>620</v>
      </c>
      <c r="D6" s="8" t="n">
        <v>1760</v>
      </c>
      <c r="E6" s="8" t="n">
        <v>130</v>
      </c>
      <c r="F6" s="8" t="n">
        <v>0.4</v>
      </c>
      <c r="G6" s="8" t="n">
        <v>0.35</v>
      </c>
      <c r="H6" s="8" t="inlineStr">
        <is>
          <t>The station lands on your line and flashes white.</t>
        </is>
      </c>
    </row>
    <row r="7">
      <c r="A7" s="8" t="inlineStr">
        <is>
          <t>resist</t>
        </is>
      </c>
      <c r="B7" s="8" t="inlineStr">
        <is>
          <t>square</t>
        </is>
      </c>
      <c r="C7" s="8" t="n">
        <v>880</v>
      </c>
      <c r="D7" s="8" t="n">
        <v>760</v>
      </c>
      <c r="E7" s="8" t="n">
        <v>120</v>
      </c>
      <c r="F7" s="8" t="n">
        <v>0.34</v>
      </c>
      <c r="G7" s="8" t="n">
        <v>0.3</v>
      </c>
      <c r="H7" s="8" t="inlineStr">
        <is>
          <t>A layer shrugs off its own emotion. Played twice, descending.</t>
        </is>
      </c>
    </row>
    <row r="8">
      <c r="A8" s="8" t="inlineStr">
        <is>
          <t>hit_anger</t>
        </is>
      </c>
      <c r="B8" s="8" t="inlineStr">
        <is>
          <t>square</t>
        </is>
      </c>
      <c r="C8" s="8" t="n">
        <v>300</v>
      </c>
      <c r="D8" s="8" t="n">
        <v>90</v>
      </c>
      <c r="E8" s="8" t="n">
        <v>150</v>
      </c>
      <c r="F8" s="8" t="n">
        <v>0.36</v>
      </c>
      <c r="G8" s="8" t="n">
        <v>0.28</v>
      </c>
      <c r="H8" s="8" t="inlineStr">
        <is>
          <t>Anger lands: hard and low.</t>
        </is>
      </c>
    </row>
    <row r="9">
      <c r="A9" s="8" t="inlineStr">
        <is>
          <t>hit_surprise</t>
        </is>
      </c>
      <c r="B9" s="8" t="inlineStr">
        <is>
          <t>sawtooth</t>
        </is>
      </c>
      <c r="C9" s="8" t="n">
        <v>1200</v>
      </c>
      <c r="D9" s="8" t="n">
        <v>300</v>
      </c>
      <c r="E9" s="8" t="n">
        <v>130</v>
      </c>
      <c r="F9" s="8" t="n">
        <v>0.3</v>
      </c>
      <c r="G9" s="8" t="n">
        <v>0.34</v>
      </c>
      <c r="H9" s="8" t="inlineStr">
        <is>
          <t>Surprise lands: a sharp drop.</t>
        </is>
      </c>
    </row>
    <row r="10">
      <c r="A10" s="8" t="inlineStr">
        <is>
          <t>hit_disgust</t>
        </is>
      </c>
      <c r="B10" s="8" t="inlineStr">
        <is>
          <t>noise</t>
        </is>
      </c>
      <c r="C10" s="8" t="n">
        <v>420</v>
      </c>
      <c r="D10" s="8" t="n">
        <v>200</v>
      </c>
      <c r="E10" s="8" t="n">
        <v>180</v>
      </c>
      <c r="F10" s="8" t="n">
        <v>0.3</v>
      </c>
      <c r="G10" s="8" t="n">
        <v>0.3</v>
      </c>
      <c r="H10" s="8" t="inlineStr">
        <is>
          <t>Disgust lands: wet and dull.</t>
        </is>
      </c>
    </row>
    <row r="11">
      <c r="A11" s="8" t="inlineStr">
        <is>
          <t>hit_joy</t>
        </is>
      </c>
      <c r="B11" s="8" t="inlineStr">
        <is>
          <t>square</t>
        </is>
      </c>
      <c r="C11" s="8" t="n">
        <v>900</v>
      </c>
      <c r="D11" s="8" t="n">
        <v>1800</v>
      </c>
      <c r="E11" s="8" t="n">
        <v>120</v>
      </c>
      <c r="F11" s="8" t="n">
        <v>0.3</v>
      </c>
      <c r="G11" s="8" t="n">
        <v>0.32</v>
      </c>
      <c r="H11" s="8" t="inlineStr">
        <is>
          <t>Joy lands: bright and rising.</t>
        </is>
      </c>
    </row>
    <row r="12">
      <c r="A12" s="8" t="inlineStr">
        <is>
          <t>hit_sadness</t>
        </is>
      </c>
      <c r="B12" s="8" t="inlineStr">
        <is>
          <t>triangle</t>
        </is>
      </c>
      <c r="C12" s="8" t="n">
        <v>520</v>
      </c>
      <c r="D12" s="8" t="n">
        <v>180</v>
      </c>
      <c r="E12" s="8" t="n">
        <v>220</v>
      </c>
      <c r="F12" s="8" t="n">
        <v>0.3</v>
      </c>
      <c r="G12" s="8" t="n">
        <v>0.38</v>
      </c>
      <c r="H12" s="8" t="inlineStr">
        <is>
          <t>Sadness lands: a long fall.</t>
        </is>
      </c>
    </row>
    <row r="13">
      <c r="A13" s="8" t="inlineStr">
        <is>
          <t>hit_fear</t>
        </is>
      </c>
      <c r="B13" s="8" t="inlineStr">
        <is>
          <t>noise</t>
        </is>
      </c>
      <c r="C13" s="8" t="n">
        <v>900</v>
      </c>
      <c r="D13" s="8" t="n">
        <v>1400</v>
      </c>
      <c r="E13" s="8" t="n">
        <v>120</v>
      </c>
      <c r="F13" s="8" t="n">
        <v>0.26</v>
      </c>
      <c r="G13" s="8" t="n">
        <v>0.4</v>
      </c>
      <c r="H13" s="8" t="inlineStr">
        <is>
          <t>Fear lands: a cold hiss.</t>
        </is>
      </c>
    </row>
    <row r="14">
      <c r="A14" s="8" t="inlineStr">
        <is>
          <t>buff_up</t>
        </is>
      </c>
      <c r="B14" s="8" t="inlineStr">
        <is>
          <t>square</t>
        </is>
      </c>
      <c r="C14" s="8" t="n">
        <v>420</v>
      </c>
      <c r="D14" s="8" t="n">
        <v>1500</v>
      </c>
      <c r="E14" s="8" t="n">
        <v>260</v>
      </c>
      <c r="F14" s="8" t="n">
        <v>0.28</v>
      </c>
      <c r="G14" s="8" t="n">
        <v>0.35</v>
      </c>
      <c r="H14" s="8" t="inlineStr">
        <is>
          <t>Something is lifted.</t>
        </is>
      </c>
    </row>
    <row r="15">
      <c r="A15" s="8" t="inlineStr">
        <is>
          <t>debuff_down</t>
        </is>
      </c>
      <c r="B15" s="8" t="inlineStr">
        <is>
          <t>sawtooth</t>
        </is>
      </c>
      <c r="C15" s="8" t="n">
        <v>1500</v>
      </c>
      <c r="D15" s="8" t="n">
        <v>260</v>
      </c>
      <c r="E15" s="8" t="n">
        <v>300</v>
      </c>
      <c r="F15" s="8" t="n">
        <v>0.3</v>
      </c>
      <c r="G15" s="8" t="n">
        <v>0.38</v>
      </c>
      <c r="H15" s="8" t="inlineStr">
        <is>
          <t>Something is dragged down.</t>
        </is>
      </c>
    </row>
    <row r="16">
      <c r="A16" s="8" t="inlineStr">
        <is>
          <t>status_on</t>
        </is>
      </c>
      <c r="B16" s="8" t="inlineStr">
        <is>
          <t>noise</t>
        </is>
      </c>
      <c r="C16" s="8" t="n">
        <v>200</v>
      </c>
      <c r="D16" s="8" t="n">
        <v>1100</v>
      </c>
      <c r="E16" s="8" t="n">
        <v>520</v>
      </c>
      <c r="F16" s="8" t="n">
        <v>0.32</v>
      </c>
      <c r="G16" s="8" t="n">
        <v>0.5</v>
      </c>
      <c r="H16" s="8" t="inlineStr">
        <is>
          <t>A status takes hold.</t>
        </is>
      </c>
    </row>
    <row r="17">
      <c r="A17" s="8" t="inlineStr">
        <is>
          <t>sheatheE</t>
        </is>
      </c>
      <c r="B17" s="8" t="inlineStr">
        <is>
          <t>sawtooth</t>
        </is>
      </c>
      <c r="C17" s="8" t="n">
        <v>1500</v>
      </c>
      <c r="D17" s="8" t="n">
        <v>220</v>
      </c>
      <c r="E17" s="8" t="n">
        <v>150</v>
      </c>
      <c r="F17" s="8" t="n">
        <v>0.3</v>
      </c>
      <c r="G17" s="8" t="n">
        <v>0.22</v>
      </c>
      <c r="H17" s="8" t="inlineStr">
        <is>
          <t>Enemy UI element drawn into place. Lower.</t>
        </is>
      </c>
    </row>
    <row r="18">
      <c r="A18" s="8" t="inlineStr">
        <is>
          <t>sheatheP</t>
        </is>
      </c>
      <c r="B18" s="8" t="inlineStr">
        <is>
          <t>sawtooth</t>
        </is>
      </c>
      <c r="C18" s="8" t="n">
        <v>2100</v>
      </c>
      <c r="D18" s="8" t="n">
        <v>340</v>
      </c>
      <c r="E18" s="8" t="n">
        <v>140</v>
      </c>
      <c r="F18" s="8" t="n">
        <v>0.28</v>
      </c>
      <c r="G18" s="8" t="n">
        <v>0.22</v>
      </c>
      <c r="H18" s="8" t="inlineStr">
        <is>
          <t>Player UI element drawn into place. Higher.</t>
        </is>
      </c>
    </row>
    <row r="19">
      <c r="A19" s="8" t="inlineStr">
        <is>
          <t>slot</t>
        </is>
      </c>
      <c r="B19" s="8" t="inlineStr">
        <is>
          <t>triangle</t>
        </is>
      </c>
      <c r="C19" s="8" t="n">
        <v>300</v>
      </c>
      <c r="D19" s="8" t="n">
        <v>1500</v>
      </c>
      <c r="E19" s="8" t="n">
        <v>150</v>
      </c>
      <c r="F19" s="8" t="n">
        <v>0.3</v>
      </c>
      <c r="G19" s="8" t="n">
        <v>0.45</v>
      </c>
      <c r="H19" s="8" t="inlineStr">
        <is>
          <t>A temporary slot flies in from the opponent.</t>
        </is>
      </c>
    </row>
    <row r="20">
      <c r="A20" s="8" t="inlineStr">
        <is>
          <t>remove</t>
        </is>
      </c>
      <c r="B20" s="8" t="inlineStr">
        <is>
          <t>square</t>
        </is>
      </c>
      <c r="C20" s="8" t="n">
        <v>520</v>
      </c>
      <c r="D20" s="8" t="n">
        <v>220</v>
      </c>
      <c r="E20" s="8" t="n">
        <v>90</v>
      </c>
      <c r="F20" s="8" t="n">
        <v>0.34</v>
      </c>
      <c r="G20" s="8" t="n">
        <v>0.24</v>
      </c>
      <c r="H20" s="8" t="inlineStr">
        <is>
          <t>Removing a station.</t>
        </is>
      </c>
    </row>
    <row r="21">
      <c r="A21" s="8" t="inlineStr">
        <is>
          <t>depart</t>
        </is>
      </c>
      <c r="B21" s="8" t="inlineStr">
        <is>
          <t>sawtooth</t>
        </is>
      </c>
      <c r="C21" s="8" t="n">
        <v>240</v>
      </c>
      <c r="D21" s="8" t="n">
        <v>70</v>
      </c>
      <c r="E21" s="8" t="n">
        <v>420</v>
      </c>
      <c r="F21" s="8" t="n">
        <v>0.26</v>
      </c>
      <c r="G21" s="8" t="n">
        <v>0.45</v>
      </c>
      <c r="H21" s="8" t="inlineStr">
        <is>
          <t>The line departs and charge is spent.</t>
        </is>
      </c>
    </row>
    <row r="22">
      <c r="A22" s="8" t="inlineStr">
        <is>
          <t>travel</t>
        </is>
      </c>
      <c r="B22" s="8" t="inlineStr">
        <is>
          <t>square</t>
        </is>
      </c>
      <c r="C22" s="8" t="n">
        <v>150</v>
      </c>
      <c r="D22" s="8" t="n">
        <v>150</v>
      </c>
      <c r="E22" s="8" t="n">
        <v>38</v>
      </c>
      <c r="F22" s="8" t="n">
        <v>0.1</v>
      </c>
      <c r="G22" s="8" t="n">
        <v>0.15</v>
      </c>
      <c r="H22" s="8" t="inlineStr">
        <is>
          <t>Line scrolling to the next station.</t>
        </is>
      </c>
    </row>
    <row r="23">
      <c r="A23" s="8" t="inlineStr">
        <is>
          <t>arrive</t>
        </is>
      </c>
      <c r="B23" s="8" t="inlineStr">
        <is>
          <t>square</t>
        </is>
      </c>
      <c r="C23" s="8" t="n">
        <v>880</v>
      </c>
      <c r="D23" s="8" t="n">
        <v>880</v>
      </c>
      <c r="E23" s="8" t="n">
        <v>45</v>
      </c>
      <c r="F23" s="8" t="n">
        <v>0.14</v>
      </c>
      <c r="G23" s="8" t="n">
        <v>0.3</v>
      </c>
      <c r="H23" s="8" t="inlineStr">
        <is>
          <t>Station reaches the head and lights up.</t>
        </is>
      </c>
    </row>
    <row r="24">
      <c r="A24" s="8" t="inlineStr">
        <is>
          <t>hit</t>
        </is>
      </c>
      <c r="B24" s="8" t="inlineStr">
        <is>
          <t>noise</t>
        </is>
      </c>
      <c r="C24" s="8" t="n">
        <v>700</v>
      </c>
      <c r="D24" s="8" t="n">
        <v>700</v>
      </c>
      <c r="E24" s="8" t="n">
        <v>190</v>
      </c>
      <c r="F24" s="8" t="n">
        <v>0.34</v>
      </c>
      <c r="G24" s="8" t="n">
        <v>0.4</v>
      </c>
      <c r="H24" s="8" t="inlineStr">
        <is>
          <t>Off-type hit.</t>
        </is>
      </c>
    </row>
    <row r="25">
      <c r="A25" s="8" t="inlineStr">
        <is>
          <t>absorb</t>
        </is>
      </c>
      <c r="B25" s="8" t="inlineStr">
        <is>
          <t>square</t>
        </is>
      </c>
      <c r="C25" s="8" t="n">
        <v>300</v>
      </c>
      <c r="D25" s="8" t="n">
        <v>1200</v>
      </c>
      <c r="E25" s="8" t="n">
        <v>260</v>
      </c>
      <c r="F25" s="8" t="n">
        <v>0.24</v>
      </c>
      <c r="G25" s="8" t="n">
        <v>0.5</v>
      </c>
      <c r="H25" s="8" t="inlineStr">
        <is>
          <t>Same-type hit: the layer absorbs it.</t>
        </is>
      </c>
    </row>
    <row r="26">
      <c r="A26" s="8" t="inlineStr">
        <is>
          <t>block</t>
        </is>
      </c>
      <c r="B26" s="8" t="inlineStr">
        <is>
          <t>noise</t>
        </is>
      </c>
      <c r="C26" s="8" t="n">
        <v>1600</v>
      </c>
      <c r="D26" s="8" t="n">
        <v>1600</v>
      </c>
      <c r="E26" s="8" t="n">
        <v>90</v>
      </c>
      <c r="F26" s="8" t="n">
        <v>0.3</v>
      </c>
      <c r="G26" s="8" t="n">
        <v>0.35</v>
      </c>
      <c r="H26" s="8" t="inlineStr">
        <is>
          <t>Shield blocks, or shield goes up.</t>
        </is>
      </c>
    </row>
    <row r="27">
      <c r="A27" s="8" t="inlineStr">
        <is>
          <t>breaklayer</t>
        </is>
      </c>
      <c r="B27" s="8" t="inlineStr">
        <is>
          <t>sawtooth</t>
        </is>
      </c>
      <c r="C27" s="8" t="n">
        <v>760</v>
      </c>
      <c r="D27" s="8" t="n">
        <v>80</v>
      </c>
      <c r="E27" s="8" t="n">
        <v>340</v>
      </c>
      <c r="F27" s="8" t="n">
        <v>0.28</v>
      </c>
      <c r="G27" s="8" t="n">
        <v>0.55</v>
      </c>
      <c r="H27" s="8" t="inlineStr">
        <is>
          <t>A layer flashes and breaks.</t>
        </is>
      </c>
    </row>
    <row r="28">
      <c r="A28" s="8" t="inlineStr">
        <is>
          <t>regrow</t>
        </is>
      </c>
      <c r="B28" s="8" t="inlineStr">
        <is>
          <t>triangle</t>
        </is>
      </c>
      <c r="C28" s="8" t="n">
        <v>120</v>
      </c>
      <c r="D28" s="8" t="n">
        <v>520</v>
      </c>
      <c r="E28" s="8" t="n">
        <v>300</v>
      </c>
      <c r="F28" s="8" t="n">
        <v>0.16</v>
      </c>
      <c r="G28" s="8" t="n">
        <v>0.4</v>
      </c>
      <c r="H28" s="8" t="inlineStr">
        <is>
          <t>The broken layer regrows at the back.</t>
        </is>
      </c>
    </row>
    <row r="29">
      <c r="A29" s="8" t="inlineStr">
        <is>
          <t>clash</t>
        </is>
      </c>
      <c r="B29" s="8" t="inlineStr">
        <is>
          <t>noise</t>
        </is>
      </c>
      <c r="C29" s="8" t="n">
        <v>240</v>
      </c>
      <c r="D29" s="8" t="n">
        <v>240</v>
      </c>
      <c r="E29" s="8" t="n">
        <v>1500</v>
      </c>
      <c r="F29" s="8" t="n">
        <v>0.4</v>
      </c>
      <c r="G29" s="8" t="n">
        <v>0.65</v>
      </c>
      <c r="H29" s="8" t="inlineStr">
        <is>
          <t>Death: the chevrons meet.</t>
        </is>
      </c>
    </row>
    <row r="30">
      <c r="A30" s="8" t="inlineStr">
        <is>
          <t>speak</t>
        </is>
      </c>
      <c r="B30" s="8" t="inlineStr">
        <is>
          <t>square</t>
        </is>
      </c>
      <c r="C30" s="8" t="n">
        <v>620</v>
      </c>
      <c r="D30" s="8" t="n">
        <v>540</v>
      </c>
      <c r="E30" s="8" t="n">
        <v>42</v>
      </c>
      <c r="F30" s="8" t="n">
        <v>0.09</v>
      </c>
      <c r="G30" s="8" t="n">
        <v>0.12</v>
      </c>
      <c r="H30" s="8" t="inlineStr">
        <is>
          <t>One letter of dialogue appearing.</t>
        </is>
      </c>
    </row>
    <row r="31">
      <c r="A31" s="8" t="inlineStr">
        <is>
          <t>win</t>
        </is>
      </c>
      <c r="B31" s="8" t="inlineStr">
        <is>
          <t>square</t>
        </is>
      </c>
      <c r="C31" s="8" t="n">
        <v>440</v>
      </c>
      <c r="D31" s="8" t="n">
        <v>1320</v>
      </c>
      <c r="E31" s="8" t="n">
        <v>620</v>
      </c>
      <c r="F31" s="8" t="n">
        <v>0.24</v>
      </c>
      <c r="G31" s="8" t="n">
        <v>0.55</v>
      </c>
      <c r="H31" s="8" t="inlineStr">
        <is>
          <t>Victory.</t>
        </is>
      </c>
    </row>
    <row r="32">
      <c r="A32" s="8" t="inlineStr">
        <is>
          <t>lose</t>
        </is>
      </c>
      <c r="B32" s="8" t="inlineStr">
        <is>
          <t>sawtooth</t>
        </is>
      </c>
      <c r="C32" s="8" t="n">
        <v>320</v>
      </c>
      <c r="D32" s="8" t="n">
        <v>50</v>
      </c>
      <c r="E32" s="8" t="n">
        <v>950</v>
      </c>
      <c r="F32" s="8" t="n">
        <v>0.28</v>
      </c>
      <c r="G32" s="8" t="n">
        <v>0.6</v>
      </c>
      <c r="H32" s="8" t="inlineStr">
        <is>
          <t>Defeat.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LIVE VALIDATION — every row should read OK. Anything else means a broken reference.</t>
        </is>
      </c>
    </row>
    <row r="3">
      <c r="A3" s="9" t="inlineStr">
        <is>
          <t>check</t>
        </is>
      </c>
      <c r="B3" s="9" t="inlineStr">
        <is>
          <t>expected</t>
        </is>
      </c>
      <c r="C3" s="9" t="inlineStr">
        <is>
          <t>actual</t>
        </is>
      </c>
      <c r="D3" s="9" t="inlineStr">
        <is>
          <t>status</t>
        </is>
      </c>
    </row>
    <row r="4">
      <c r="A4" s="8" t="inlineStr">
        <is>
          <t>Abilities with an emotion not in 'emotions'</t>
        </is>
      </c>
      <c r="B4" s="8" t="n">
        <v>0</v>
      </c>
      <c r="C4" s="8">
        <f>SUMPRODUCT((abilities!C5:C200&lt;&gt;"")*(COUNTIF(emotions!A5:A200,abilities!C5:C200)=0))</f>
        <v/>
      </c>
      <c r="D4" s="10">
        <f>IF(C4=B4,"OK","CHECK")</f>
        <v/>
      </c>
    </row>
    <row r="5">
      <c r="A5" s="8" t="inlineStr">
        <is>
          <t>Abilities missing an id</t>
        </is>
      </c>
      <c r="B5" s="8" t="n">
        <v>0</v>
      </c>
      <c r="C5" s="8">
        <f>SUMPRODUCT((abilities!B5:B200&lt;&gt;"")*(abilities!A5:A200=""))</f>
        <v/>
      </c>
      <c r="D5" s="10">
        <f>IF(C5=B5,"OK","CHECK")</f>
        <v/>
      </c>
    </row>
    <row r="6">
      <c r="A6" s="8" t="inlineStr">
        <is>
          <t>Units with a blank pool</t>
        </is>
      </c>
      <c r="B6" s="8" t="n">
        <v>0</v>
      </c>
      <c r="C6" s="8">
        <f>SUMPRODUCT((units!A5:A200&lt;&gt;"")*(units!G5:G200=""))</f>
        <v/>
      </c>
      <c r="D6" s="10">
        <f>IF(C6=B6,"OK","CHECK")</f>
        <v/>
      </c>
    </row>
    <row r="7">
      <c r="A7" s="8" t="inlineStr">
        <is>
          <t>Matchup rows with no label</t>
        </is>
      </c>
      <c r="B7" s="8" t="n">
        <v>0</v>
      </c>
      <c r="C7" s="8">
        <f>SUMPRODUCT((matchups!A5:A200&lt;&gt;"")*(matchups!F5:F200=""))</f>
        <v/>
      </c>
      <c r="D7" s="10">
        <f>IF(C7=B7,"OK","CHECK")</f>
        <v/>
      </c>
    </row>
    <row r="8">
      <c r="A8" s="8" t="inlineStr">
        <is>
          <t>Matchup attack emotions unknown (blank/*/NONE allowed)</t>
        </is>
      </c>
      <c r="B8" s="8" t="n">
        <v>0</v>
      </c>
      <c r="C8" s="8">
        <f>SUMPRODUCT((matchups!A5:A200&lt;&gt;"")*(matchups!A5:A200&lt;&gt;"*")*(matchups!A5:A200&lt;&gt;"NONE")*(COUNTIF(emotions!A5:A200,matchups!A5:A200)=0))</f>
        <v/>
      </c>
      <c r="D8" s="10">
        <f>IF(C8=B8,"OK","CHECK")</f>
        <v/>
      </c>
    </row>
    <row r="9">
      <c r="A9" s="8" t="inlineStr">
        <is>
          <t>Matchup layer emotions unknown (blank/*/NONE allowed)</t>
        </is>
      </c>
      <c r="B9" s="8" t="n">
        <v>0</v>
      </c>
      <c r="C9" s="8">
        <f>SUMPRODUCT((matchups!B5:B200&lt;&gt;"")*(matchups!B5:B200&lt;&gt;"*")*(matchups!B5:B200&lt;&gt;"NONE")*(COUNTIF(emotions!A5:A200,matchups!B5:B200)=0))</f>
        <v/>
      </c>
      <c r="D9" s="10">
        <f>IF(C9=B9,"OK","CHECK")</f>
        <v/>
      </c>
    </row>
    <row r="10">
      <c r="A10" s="8" t="inlineStr">
        <is>
          <t>Duplicate ability ids</t>
        </is>
      </c>
      <c r="B10" s="8" t="n">
        <v>0</v>
      </c>
      <c r="C10" s="8">
        <f>SUMPRODUCT((abilities!A5:A200&lt;&gt;"")*(COUNTIF(abilities!A5:A200,abilities!A5:A200&amp;"")&gt;1))</f>
        <v/>
      </c>
      <c r="D10" s="10">
        <f>IF(C10=B10,"OK","CHECK")</f>
        <v/>
      </c>
    </row>
    <row r="11">
      <c r="A11" s="8" t="inlineStr">
        <is>
          <t>Duplicate emotion ids</t>
        </is>
      </c>
      <c r="B11" s="8" t="n">
        <v>0</v>
      </c>
      <c r="C11" s="8">
        <f>SUMPRODUCT((emotions!A5:A200&lt;&gt;"")*(COUNTIF(emotions!A5:A200,emotions!A5:A200&amp;"")&gt;1))</f>
        <v/>
      </c>
      <c r="D11" s="10">
        <f>IF(C11=B11,"OK","CHECK")</f>
        <v/>
      </c>
    </row>
    <row r="12">
      <c r="A12" s="8" t="inlineStr">
        <is>
          <t>Enabled emotions</t>
        </is>
      </c>
      <c r="B12" s="8" t="n">
        <v>6</v>
      </c>
      <c r="C12" s="8">
        <f>SUMPRODUCT((emotions!A5:A200&lt;&gt;"")*(emotions!G5:G200=1))</f>
        <v/>
      </c>
      <c r="D12" s="10">
        <f>IF(C12=B12,"OK","CHECK")</f>
        <v/>
      </c>
    </row>
    <row r="13">
      <c r="A13" s="8" t="inlineStr">
        <is>
          <t>Enabled abilities</t>
        </is>
      </c>
      <c r="B13" s="8" t="n">
        <v>10</v>
      </c>
      <c r="C13" s="8">
        <f>SUMPRODUCT((abilities!A5:A200&lt;&gt;"")*(abilities!AF5:AF200=1))</f>
        <v/>
      </c>
      <c r="D13" s="10">
        <f>IF(C13=B13,"OK","CHECK")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2026-08-26T10:12:01Z</dcterms:created>
  <dcterms:modified xmlns:dcterms="http://purl.org/dc/terms/" xmlns:xsi="http://www.w3.org/2001/XMLSchema-instance" xsi:type="dcterms:W3CDTF">2026-08-26T10:12:01Z</dcterms:modified>
</cp:coreProperties>
</file>