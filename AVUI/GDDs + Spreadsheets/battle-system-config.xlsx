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motions" sheetId="2" state="visible" r:id="rId2"/>
    <sheet xmlns:r="http://schemas.openxmlformats.org/officeDocument/2006/relationships" name="abilities" sheetId="3" state="visible" r:id="rId3"/>
    <sheet xmlns:r="http://schemas.openxmlformats.org/officeDocument/2006/relationships" name="loadouts" sheetId="4" state="visible" r:id="rId4"/>
    <sheet xmlns:r="http://schemas.openxmlformats.org/officeDocument/2006/relationships" name="matchups" sheetId="5" state="visible" r:id="rId5"/>
    <sheet xmlns:r="http://schemas.openxmlformats.org/officeDocument/2006/relationships" name="units" sheetId="6" state="visible" r:id="rId6"/>
    <sheet xmlns:r="http://schemas.openxmlformats.org/officeDocument/2006/relationships" name="dialogue" sheetId="7" state="visible" r:id="rId7"/>
    <sheet xmlns:r="http://schemas.openxmlformats.org/officeDocument/2006/relationships" name="prompts" sheetId="8" state="visible" r:id="rId8"/>
    <sheet xmlns:r="http://schemas.openxmlformats.org/officeDocument/2006/relationships" name="moments" sheetId="9" state="visible" r:id="rId9"/>
    <sheet xmlns:r="http://schemas.openxmlformats.org/officeDocument/2006/relationships" name="layer_types" sheetId="10" state="visible" r:id="rId10"/>
    <sheet xmlns:r="http://schemas.openxmlformats.org/officeDocument/2006/relationships" name="status_effects" sheetId="11" state="visible" r:id="rId11"/>
    <sheet xmlns:r="http://schemas.openxmlformats.org/officeDocument/2006/relationships" name="synergies" sheetId="12" state="visible" r:id="rId12"/>
    <sheet xmlns:r="http://schemas.openxmlformats.org/officeDocument/2006/relationships" name="rules" sheetId="13" state="visible" r:id="rId13"/>
    <sheet xmlns:r="http://schemas.openxmlformats.org/officeDocument/2006/relationships" name="sounds" sheetId="14" state="visible" r:id="rId14"/>
    <sheet xmlns:r="http://schemas.openxmlformats.org/officeDocument/2006/relationships" name="stations" sheetId="15" state="visible" r:id="rId15"/>
    <sheet xmlns:r="http://schemas.openxmlformats.org/officeDocument/2006/relationships" name="metro_lines" sheetId="16" state="visible" r:id="rId16"/>
    <sheet xmlns:r="http://schemas.openxmlformats.org/officeDocument/2006/relationships" name="travel_elements" sheetId="17" state="visible" r:id="rId17"/>
    <sheet xmlns:r="http://schemas.openxmlformats.org/officeDocument/2006/relationships" name="items" sheetId="18" state="visible" r:id="rId18"/>
    <sheet xmlns:r="http://schemas.openxmlformats.org/officeDocument/2006/relationships" name="armor" sheetId="19" state="visible" r:id="rId19"/>
    <sheet xmlns:r="http://schemas.openxmlformats.org/officeDocument/2006/relationships" name="world_bands" sheetId="20" state="visible" r:id="rId20"/>
    <sheet xmlns:r="http://schemas.openxmlformats.org/officeDocument/2006/relationships" name="city_status" sheetId="21" state="visible" r:id="rId21"/>
    <sheet xmlns:r="http://schemas.openxmlformats.org/officeDocument/2006/relationships" name="objectives" sheetId="22" state="visible" r:id="rId22"/>
    <sheet xmlns:r="http://schemas.openxmlformats.org/officeDocument/2006/relationships" name="checks" sheetId="23" state="visible" r:id="rId2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0ECE0"/>
      <sz val="16"/>
    </font>
    <font>
      <name val="Arial"/>
      <color rgb="00000000"/>
      <sz val="10"/>
    </font>
    <font>
      <name val="Arial"/>
      <b val="1"/>
      <color rgb="00000000"/>
      <sz val="12"/>
    </font>
    <font>
      <name val="Arial"/>
      <i val="1"/>
      <color rgb="00666666"/>
      <sz val="9"/>
    </font>
    <font>
      <name val="Arial"/>
      <b val="1"/>
      <color rgb="00F0ECE0"/>
      <sz val="10"/>
    </font>
    <font>
      <name val="Arial"/>
      <b val="1"/>
      <color rgb="00274E13"/>
      <sz val="8"/>
    </font>
    <font>
      <name val="Arial"/>
      <color rgb="007F6000"/>
      <sz val="8"/>
    </font>
    <font>
      <name val="Arial"/>
      <sz val="10"/>
    </font>
    <font>
      <name val="Arial"/>
      <b val="1"/>
      <sz val="10"/>
    </font>
  </fonts>
  <fills count="5">
    <fill>
      <patternFill/>
    </fill>
    <fill>
      <patternFill patternType="gray125"/>
    </fill>
    <fill>
      <patternFill patternType="solid">
        <fgColor rgb="001E1E26"/>
      </patternFill>
    </fill>
    <fill>
      <patternFill patternType="solid">
        <fgColor rgb="00D9EAD3"/>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vertical="center"/>
    </xf>
    <xf numFmtId="0" fontId="6" fillId="3" borderId="1" applyAlignment="1" pivotButton="0" quotePrefix="0" xfId="0">
      <alignment horizontal="left"/>
    </xf>
    <xf numFmtId="0" fontId="7" fillId="4" borderId="1" applyAlignment="1" pivotButton="0" quotePrefix="0" xfId="0">
      <alignment horizontal="left"/>
    </xf>
    <xf numFmtId="0" fontId="8" fillId="0" borderId="1" pivotButton="0" quotePrefix="0" xfId="0"/>
    <xf numFmtId="0" fontId="5" fillId="2" borderId="1" pivotButton="0" quotePrefix="0" xfId="0"/>
    <xf numFmtId="0" fontId="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0" customWidth="1" min="1" max="1"/>
  </cols>
  <sheetData>
    <row r="1">
      <c r="A1" s="1" t="inlineStr">
        <is>
          <t>NEURO-METRO: AVUI — GAME CONFIG</t>
        </is>
      </c>
    </row>
    <row r="2">
      <c r="A2" s="2" t="inlineStr"/>
    </row>
    <row r="3">
      <c r="A3" s="2" t="inlineStr">
        <is>
          <t>This workbook is the source of truth for all game content. The prototype reads no</t>
        </is>
      </c>
    </row>
    <row r="4">
      <c r="A4" s="2" t="inlineStr">
        <is>
          <t>content values of its own — every number, ability, unit and rule comes from here.</t>
        </is>
      </c>
    </row>
    <row r="5">
      <c r="A5" s="2" t="inlineStr"/>
    </row>
    <row r="6">
      <c r="A6" s="3" t="inlineStr">
        <is>
          <t>HOW THE ROUND TRIP WORKS</t>
        </is>
      </c>
    </row>
    <row r="7">
      <c r="A7" s="2" t="inlineStr">
        <is>
          <t>1.  Edit any sheet in Google Sheets.</t>
        </is>
      </c>
    </row>
    <row r="8">
      <c r="A8" s="2" t="inlineStr">
        <is>
          <t>2.  File &gt; Download &gt; Comma-separated values, one CSV per sheet.</t>
        </is>
      </c>
    </row>
    <row r="9">
      <c r="A9" s="2" t="inlineStr">
        <is>
          <t>3.  Put the CSVs in a folder and run:  python3 tools/build_data.py &lt;folder&gt;</t>
        </is>
      </c>
    </row>
    <row r="10">
      <c r="A10" s="2" t="inlineStr">
        <is>
          <t>4.  That regenerates data.js. Reload the prototype. Nothing else to touch.</t>
        </is>
      </c>
    </row>
    <row r="11">
      <c r="A11" s="2" t="inlineStr"/>
    </row>
    <row r="12">
      <c r="A12" s="3" t="inlineStr">
        <is>
          <t>COLUMN STATUS — the row under each header</t>
        </is>
      </c>
    </row>
    <row r="13">
      <c r="A13" s="2" t="inlineStr">
        <is>
          <t>LIVE      (green)   the prototype reads this column today. Renaming it breaks the game.</t>
        </is>
      </c>
    </row>
    <row r="14">
      <c r="A14" s="2" t="inlineStr">
        <is>
          <t>planned   (yellow)  reserved for design you have not built yet. Inert until wired up;</t>
        </is>
      </c>
    </row>
    <row r="15">
      <c r="A15" s="2" t="inlineStr">
        <is>
          <t xml:space="preserve">                    safe to fill in early. Tell me when you want one activated.</t>
        </is>
      </c>
    </row>
    <row r="16">
      <c r="A16" s="2" t="inlineStr"/>
    </row>
    <row r="17">
      <c r="A17" s="3" t="inlineStr">
        <is>
          <t>CONVENTIONS</t>
        </is>
      </c>
    </row>
    <row r="18">
      <c r="A18" s="2" t="inlineStr">
        <is>
          <t>ids          UPPER_SNAKE. Referenced by other sheets, so renaming one means updating</t>
        </is>
      </c>
    </row>
    <row r="19">
      <c r="A19" s="2" t="inlineStr">
        <is>
          <t xml:space="preserve">             every sheet that points at it. The 'checks' sheet catches broken references.</t>
        </is>
      </c>
    </row>
    <row r="20">
      <c r="A20" s="2" t="inlineStr">
        <is>
          <t>lists        pipe-separated in a single cell:  ATK_ANGER|ATK_JOY|DEFEND</t>
        </is>
      </c>
    </row>
    <row r="21">
      <c r="A21" s="2" t="inlineStr">
        <is>
          <t>booleans     1 or 0  (TRUE/FALSE also accepted)</t>
        </is>
      </c>
    </row>
    <row r="22">
      <c r="A22" s="2" t="inlineStr">
        <is>
          <t>blank        means 'none' / 'typeless'. An ability with no emotion never matches a layer.</t>
        </is>
      </c>
    </row>
    <row r="23">
      <c r="A23" s="2" t="inlineStr">
        <is>
          <t>*            wildcard, in the matchups sheet only. Matches any emotion.</t>
        </is>
      </c>
    </row>
    <row r="24">
      <c r="A24" s="2" t="inlineStr">
        <is>
          <t>enabled      set to 0 to switch a row off without deleting it.</t>
        </is>
      </c>
    </row>
    <row r="25">
      <c r="A25" s="2" t="inlineStr"/>
    </row>
    <row r="26">
      <c r="A26" s="3" t="inlineStr">
        <is>
          <t>ADDING THINGS — no code needed</t>
        </is>
      </c>
    </row>
    <row r="27">
      <c r="A27" s="2" t="inlineStr">
        <is>
          <t>a new ability      add a row to 'abilities', then add its id to a unit's pool</t>
        </is>
      </c>
    </row>
    <row r="28">
      <c r="A28" s="2" t="inlineStr">
        <is>
          <t>a new enemy        add a row to 'units'</t>
        </is>
      </c>
    </row>
    <row r="29">
      <c r="A29" s="2" t="inlineStr">
        <is>
          <t>a new emotion      add a row to 'emotions' with a hex colour, then matchup rows for it</t>
        </is>
      </c>
    </row>
    <row r="30">
      <c r="A30" s="2" t="inlineStr">
        <is>
          <t>a new synergy      add a row to 'matchups' — this is the main lever for interactions</t>
        </is>
      </c>
    </row>
    <row r="31">
      <c r="A31" s="2" t="inlineStr">
        <is>
          <t>retune anything    'rules'</t>
        </is>
      </c>
    </row>
    <row r="32">
      <c r="A32" s="2" t="inlineStr"/>
    </row>
    <row r="33">
      <c r="A33" s="3" t="inlineStr">
        <is>
          <t>SHEETS</t>
        </is>
      </c>
    </row>
    <row r="34">
      <c r="A34" s="2" t="inlineStr">
        <is>
          <t>emotions         the six emotional types and their palette colours</t>
        </is>
      </c>
    </row>
    <row r="35">
      <c r="A35" s="2" t="inlineStr">
        <is>
          <t>abilities        everything a unit can do</t>
        </is>
      </c>
    </row>
    <row r="36">
      <c r="A36" s="2" t="inlineStr">
        <is>
          <t>matchups         attack emotion x layer emotion -&gt; damage and charge. Your synergy table.</t>
        </is>
      </c>
    </row>
    <row r="37">
      <c r="A37" s="2" t="inlineStr">
        <is>
          <t>units            player and enemies: stats, starting layers, ability pool</t>
        </is>
      </c>
    </row>
    <row r="38">
      <c r="A38" s="2" t="inlineStr">
        <is>
          <t>layer_types      per-layer properties. Reserved — layers are plain emotions today.</t>
        </is>
      </c>
    </row>
    <row r="39">
      <c r="A39" s="2" t="inlineStr">
        <is>
          <t>status_effects   buffs and debuffs. Reserved.</t>
        </is>
      </c>
    </row>
    <row r="40">
      <c r="A40" s="2" t="inlineStr">
        <is>
          <t>synergies        line-level combos (sequences, counts, positions). Reserved.</t>
        </is>
      </c>
    </row>
    <row r="41">
      <c r="A41" s="2" t="inlineStr">
        <is>
          <t>dialogue         what each enemy says, per persona and battle state</t>
        </is>
      </c>
    </row>
    <row r="42">
      <c r="A42" s="2" t="inlineStr">
        <is>
          <t>rules            global tunables</t>
        </is>
      </c>
    </row>
    <row r="43">
      <c r="A43" s="2" t="inlineStr">
        <is>
          <t>sounds           runtime-synthesised SFX. No audio files.</t>
        </is>
      </c>
    </row>
    <row r="44">
      <c r="A44" s="2" t="inlineStr">
        <is>
          <t>checks           live validation. Every row should read 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40" customWidth="1" min="9" max="9"/>
    <col width="12" customWidth="1" min="10" max="10"/>
    <col width="30" customWidth="1" min="11" max="11"/>
  </cols>
  <sheetData>
    <row r="1">
      <c r="A1" s="4" t="inlineStr">
        <is>
          <t>One row per emotional type. 'token' is the CSS palette variable name; 'hex' drives every colour in the UI for this emotion; 'bg_hex' tints the battle backdrop when an enemy of this type is fought.</t>
        </is>
      </c>
    </row>
    <row r="3">
      <c r="A3" s="5" t="inlineStr">
        <is>
          <t>id</t>
        </is>
      </c>
      <c r="B3" s="5" t="inlineStr">
        <is>
          <t>name</t>
        </is>
      </c>
      <c r="C3" s="5" t="inlineStr">
        <is>
          <t>token</t>
        </is>
      </c>
      <c r="D3" s="5" t="inlineStr">
        <is>
          <t>hex</t>
        </is>
      </c>
      <c r="E3" s="5" t="inlineStr">
        <is>
          <t>bg_hex</t>
        </is>
      </c>
      <c r="F3" s="5" t="inlineStr">
        <is>
          <t>short</t>
        </is>
      </c>
      <c r="G3" s="5" t="inlineStr">
        <is>
          <t>icon</t>
        </is>
      </c>
      <c r="H3" s="5" t="inlineStr">
        <is>
          <t>sfx</t>
        </is>
      </c>
      <c r="I3" s="5" t="inlineStr">
        <is>
          <t>description</t>
        </is>
      </c>
      <c r="J3" s="5" t="inlineStr">
        <is>
          <t>enabled</t>
        </is>
      </c>
      <c r="K3" s="5" t="inlineStr">
        <is>
          <t>notes</t>
        </is>
      </c>
    </row>
    <row r="4">
      <c r="A4" s="6" t="inlineStr">
        <is>
          <t>LIVE</t>
        </is>
      </c>
      <c r="B4" s="6" t="inlineStr">
        <is>
          <t>LIVE</t>
        </is>
      </c>
      <c r="C4" s="6" t="inlineStr">
        <is>
          <t>LIVE</t>
        </is>
      </c>
      <c r="D4" s="6" t="inlineStr">
        <is>
          <t>LIVE</t>
        </is>
      </c>
      <c r="E4" s="6" t="inlineStr">
        <is>
          <t>LIVE</t>
        </is>
      </c>
      <c r="F4" s="7" t="inlineStr">
        <is>
          <t>planned</t>
        </is>
      </c>
      <c r="G4" s="6" t="inlineStr">
        <is>
          <t>LIVE</t>
        </is>
      </c>
      <c r="H4" s="6" t="inlineStr">
        <is>
          <t>LIVE</t>
        </is>
      </c>
      <c r="I4" s="7" t="inlineStr">
        <is>
          <t>planned</t>
        </is>
      </c>
      <c r="J4" s="7" t="inlineStr">
        <is>
          <t>planned</t>
        </is>
      </c>
      <c r="K4" s="7" t="inlineStr">
        <is>
          <t>planned</t>
        </is>
      </c>
    </row>
    <row r="5">
      <c r="A5" s="8" t="inlineStr">
        <is>
          <t>ANGER</t>
        </is>
      </c>
      <c r="B5" s="8" t="inlineStr">
        <is>
          <t>Anger</t>
        </is>
      </c>
      <c r="C5" s="8" t="inlineStr">
        <is>
          <t>anger</t>
        </is>
      </c>
      <c r="D5" s="8" t="inlineStr">
        <is>
          <t>#e53859</t>
        </is>
      </c>
      <c r="E5" s="8" t="inlineStr">
        <is>
          <t>#2a0810</t>
        </is>
      </c>
      <c r="F5" s="8" t="inlineStr">
        <is>
          <t>ANG</t>
        </is>
      </c>
      <c r="G5" s="8" t="inlineStr">
        <is>
          <t>BOLT</t>
        </is>
      </c>
      <c r="H5" s="8" t="inlineStr">
        <is>
          <t>hit_anger</t>
        </is>
      </c>
      <c r="I5" s="8" t="inlineStr">
        <is>
          <t>Hot, direct, aggressive.</t>
        </is>
      </c>
      <c r="J5" s="8" t="n">
        <v>1</v>
      </c>
      <c r="K5" s="8" t="inlineStr"/>
    </row>
    <row r="6">
      <c r="A6" s="8" t="inlineStr">
        <is>
          <t>SURPRISE</t>
        </is>
      </c>
      <c r="B6" s="8" t="inlineStr">
        <is>
          <t>Surprise</t>
        </is>
      </c>
      <c r="C6" s="8" t="inlineStr">
        <is>
          <t>surprise</t>
        </is>
      </c>
      <c r="D6" s="8" t="inlineStr">
        <is>
          <t>#724082</t>
        </is>
      </c>
      <c r="E6" s="8" t="inlineStr">
        <is>
          <t>#170a1b</t>
        </is>
      </c>
      <c r="F6" s="8" t="inlineStr">
        <is>
          <t>SUR</t>
        </is>
      </c>
      <c r="G6" s="8" t="inlineStr">
        <is>
          <t>BURST</t>
        </is>
      </c>
      <c r="H6" s="8" t="inlineStr">
        <is>
          <t>hit_surprise</t>
        </is>
      </c>
      <c r="I6" s="8" t="inlineStr">
        <is>
          <t>Sudden, disruptive, disorienting.</t>
        </is>
      </c>
      <c r="J6" s="8" t="n">
        <v>1</v>
      </c>
      <c r="K6" s="8" t="inlineStr"/>
    </row>
    <row r="7">
      <c r="A7" s="8" t="inlineStr">
        <is>
          <t>DISGUST</t>
        </is>
      </c>
      <c r="B7" s="8" t="inlineStr">
        <is>
          <t>Disgust</t>
        </is>
      </c>
      <c r="C7" s="8" t="inlineStr">
        <is>
          <t>disgust</t>
        </is>
      </c>
      <c r="D7" s="8" t="inlineStr">
        <is>
          <t>#56a36a</t>
        </is>
      </c>
      <c r="E7" s="8" t="inlineStr">
        <is>
          <t>#0c1f13</t>
        </is>
      </c>
      <c r="F7" s="8" t="inlineStr">
        <is>
          <t>DIS</t>
        </is>
      </c>
      <c r="G7" s="8" t="inlineStr">
        <is>
          <t>ROT</t>
        </is>
      </c>
      <c r="H7" s="8" t="inlineStr">
        <is>
          <t>hit_disgust</t>
        </is>
      </c>
      <c r="I7" s="8" t="inlineStr">
        <is>
          <t>Rejecting, corrosive, contemptuous.</t>
        </is>
      </c>
      <c r="J7" s="8" t="n">
        <v>1</v>
      </c>
      <c r="K7" s="8" t="inlineStr"/>
    </row>
    <row r="8">
      <c r="A8" s="8" t="inlineStr">
        <is>
          <t>JOY</t>
        </is>
      </c>
      <c r="B8" s="8" t="inlineStr">
        <is>
          <t>Joy</t>
        </is>
      </c>
      <c r="C8" s="8" t="inlineStr">
        <is>
          <t>joy</t>
        </is>
      </c>
      <c r="D8" s="8" t="inlineStr">
        <is>
          <t>#fcc336</t>
        </is>
      </c>
      <c r="E8" s="8" t="inlineStr">
        <is>
          <t>#2a1f06</t>
        </is>
      </c>
      <c r="F8" s="8" t="inlineStr">
        <is>
          <t>JOY</t>
        </is>
      </c>
      <c r="G8" s="8" t="inlineStr">
        <is>
          <t>SPARK</t>
        </is>
      </c>
      <c r="H8" s="8" t="inlineStr">
        <is>
          <t>hit_joy</t>
        </is>
      </c>
      <c r="I8" s="8" t="inlineStr">
        <is>
          <t>Bright, volatile, energising.</t>
        </is>
      </c>
      <c r="J8" s="8" t="n">
        <v>1</v>
      </c>
      <c r="K8" s="8" t="inlineStr"/>
    </row>
    <row r="9">
      <c r="A9" s="8" t="inlineStr">
        <is>
          <t>SADNESS</t>
        </is>
      </c>
      <c r="B9" s="8" t="inlineStr">
        <is>
          <t>Sadness</t>
        </is>
      </c>
      <c r="C9" s="8" t="inlineStr">
        <is>
          <t>sadness</t>
        </is>
      </c>
      <c r="D9" s="8" t="inlineStr">
        <is>
          <t>#3d66c1</t>
        </is>
      </c>
      <c r="E9" s="8" t="inlineStr">
        <is>
          <t>#0a1229</t>
        </is>
      </c>
      <c r="F9" s="8" t="inlineStr">
        <is>
          <t>SAD</t>
        </is>
      </c>
      <c r="G9" s="8" t="inlineStr">
        <is>
          <t>DROP</t>
        </is>
      </c>
      <c r="H9" s="8" t="inlineStr">
        <is>
          <t>hit_sadness</t>
        </is>
      </c>
      <c r="I9" s="8" t="inlineStr">
        <is>
          <t>Heavy, draining, persistent.</t>
        </is>
      </c>
      <c r="J9" s="8" t="n">
        <v>1</v>
      </c>
      <c r="K9" s="8" t="inlineStr"/>
    </row>
    <row r="10">
      <c r="A10" s="8" t="inlineStr">
        <is>
          <t>FEAR</t>
        </is>
      </c>
      <c r="B10" s="8" t="inlineStr">
        <is>
          <t>Fear</t>
        </is>
      </c>
      <c r="C10" s="8" t="inlineStr">
        <is>
          <t>fear</t>
        </is>
      </c>
      <c r="D10" s="8" t="inlineStr">
        <is>
          <t>#929fa5</t>
        </is>
      </c>
      <c r="E10" s="8" t="inlineStr">
        <is>
          <t>#1a1e20</t>
        </is>
      </c>
      <c r="F10" s="8" t="inlineStr">
        <is>
          <t>FEA</t>
        </is>
      </c>
      <c r="G10" s="8" t="inlineStr">
        <is>
          <t>EYE</t>
        </is>
      </c>
      <c r="H10" s="8" t="inlineStr">
        <is>
          <t>hit_fear</t>
        </is>
      </c>
      <c r="I10" s="8" t="inlineStr">
        <is>
          <t>Cold, freezing, evasive.</t>
        </is>
      </c>
      <c r="J10" s="8" t="n">
        <v>1</v>
      </c>
      <c r="K10" s="8" t="inlineStr"/>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2" customWidth="1" min="3" max="3"/>
    <col width="11" customWidth="1" min="4" max="4"/>
    <col width="11" customWidth="1" min="5" max="5"/>
    <col width="11" customWidth="1" min="6" max="6"/>
    <col width="11" customWidth="1" min="7" max="7"/>
    <col width="15" customWidth="1" min="8" max="8"/>
    <col width="11" customWidth="1" min="9" max="9"/>
    <col width="11" customWidth="1" min="10" max="10"/>
    <col width="11" customWidth="1" min="11" max="11"/>
    <col width="12" customWidth="1" min="12" max="12"/>
    <col width="12" customWidth="1" min="13" max="13"/>
    <col width="19" customWidth="1" min="14" max="14"/>
    <col width="20" customWidth="1" min="15" max="15"/>
    <col width="11" customWidth="1" min="16" max="16"/>
    <col width="16" customWidth="1" min="17" max="17"/>
    <col width="18" customWidth="1" min="18" max="18"/>
    <col width="17" customWidth="1" min="19" max="19"/>
    <col width="11" customWidth="1" min="20" max="20"/>
    <col width="13" customWidth="1" min="21" max="21"/>
    <col width="11" customWidth="1" min="22" max="22"/>
    <col width="11" customWidth="1" min="23" max="23"/>
    <col width="11" customWidth="1" min="24" max="24"/>
    <col width="13" customWidth="1" min="25" max="25"/>
    <col width="16" customWidth="1" min="26" max="26"/>
    <col width="16" customWidth="1" min="27" max="27"/>
    <col width="18" customWidth="1" min="28" max="28"/>
    <col width="20" customWidth="1" min="29" max="29"/>
    <col width="16" customWidth="1" min="30" max="30"/>
    <col width="18" customWidth="1" min="31" max="31"/>
    <col width="16" customWidth="1" min="32" max="32"/>
    <col width="16" customWidth="1" min="33" max="33"/>
    <col width="11" customWidth="1" min="34" max="34"/>
    <col width="11" customWidth="1" min="35" max="35"/>
    <col width="12" customWidth="1" min="36" max="36"/>
    <col width="19" customWidth="1" min="37" max="37"/>
    <col width="15" customWidth="1" min="38" max="38"/>
    <col width="34" customWidth="1" min="39" max="39"/>
  </cols>
  <sheetData>
    <row r="1">
      <c r="A1" s="4" t="inlineStr">
        <is>
          <t>One row per ability. kind: DAMAGE | SHIELD (add more kinds as you design them). power = damage for DAMAGE, shield charges for SHIELD. Leave 'emotion' blank for typeless — a typeless ability never matches a layer. 'suggested_cost' is a formula: a costing sanity check, not a rule.</t>
        </is>
      </c>
    </row>
    <row r="3">
      <c r="A3" s="5" t="inlineStr">
        <is>
          <t>id</t>
        </is>
      </c>
      <c r="B3" s="5" t="inlineStr">
        <is>
          <t>name</t>
        </is>
      </c>
      <c r="C3" s="5" t="inlineStr">
        <is>
          <t>emotion</t>
        </is>
      </c>
      <c r="D3" s="5" t="inlineStr">
        <is>
          <t>cost</t>
        </is>
      </c>
      <c r="E3" s="5" t="inlineStr">
        <is>
          <t>kind</t>
        </is>
      </c>
      <c r="F3" s="5" t="inlineStr">
        <is>
          <t>power</t>
        </is>
      </c>
      <c r="G3" s="5" t="inlineStr">
        <is>
          <t>charge</t>
        </is>
      </c>
      <c r="H3" s="5" t="inlineStr">
        <is>
          <t>hits_layer</t>
        </is>
      </c>
      <c r="I3" s="5" t="inlineStr">
        <is>
          <t>icon</t>
        </is>
      </c>
      <c r="J3" s="5" t="inlineStr">
        <is>
          <t>target</t>
        </is>
      </c>
      <c r="K3" s="5" t="inlineStr">
        <is>
          <t>reach</t>
        </is>
      </c>
      <c r="L3" s="5" t="inlineStr">
        <is>
          <t>self_ms</t>
        </is>
      </c>
      <c r="M3" s="5" t="inlineStr">
        <is>
          <t>self_ec</t>
        </is>
      </c>
      <c r="N3" s="5" t="inlineStr">
        <is>
          <t>ec_push_target</t>
        </is>
      </c>
      <c r="O3" s="5" t="inlineStr">
        <is>
          <t>ec_drain_target</t>
        </is>
      </c>
      <c r="P3" s="5" t="inlineStr">
        <is>
          <t>heal</t>
        </is>
      </c>
      <c r="Q3" s="5" t="inlineStr">
        <is>
          <t>shield_gain</t>
        </is>
      </c>
      <c r="R3" s="5" t="inlineStr">
        <is>
          <t>pierce_shield</t>
        </is>
      </c>
      <c r="S3" s="5" t="inlineStr">
        <is>
          <t>ignore_layer</t>
        </is>
      </c>
      <c r="T3" s="5" t="inlineStr">
        <is>
          <t>repeat</t>
        </is>
      </c>
      <c r="U3" s="5" t="inlineStr">
        <is>
          <t>cooldown</t>
        </is>
      </c>
      <c r="V3" s="5" t="inlineStr">
        <is>
          <t>uses</t>
        </is>
      </c>
      <c r="W3" s="5" t="inlineStr">
        <is>
          <t>blurb</t>
        </is>
      </c>
      <c r="X3" s="5" t="inlineStr">
        <is>
          <t>action</t>
        </is>
      </c>
      <c r="Y3" s="5" t="inlineStr">
        <is>
          <t>emotions</t>
        </is>
      </c>
      <c r="Z3" s="5" t="inlineStr">
        <is>
          <t>crit_chance</t>
        </is>
      </c>
      <c r="AA3" s="5" t="inlineStr">
        <is>
          <t>status_apply</t>
        </is>
      </c>
      <c r="AB3" s="5" t="inlineStr">
        <is>
          <t>status_chance</t>
        </is>
      </c>
      <c r="AC3" s="5" t="inlineStr">
        <is>
          <t>status_duration</t>
        </is>
      </c>
      <c r="AD3" s="5" t="inlineStr">
        <is>
          <t>combo_tag</t>
        </is>
      </c>
      <c r="AE3" s="5" t="inlineStr">
        <is>
          <t>requires_prev_tag</t>
        </is>
      </c>
      <c r="AF3" s="5" t="inlineStr">
        <is>
          <t>synergy_group</t>
        </is>
      </c>
      <c r="AG3" s="5" t="inlineStr">
        <is>
          <t>wild_target</t>
        </is>
      </c>
      <c r="AH3" s="5" t="inlineStr">
        <is>
          <t>rarity</t>
        </is>
      </c>
      <c r="AI3" s="5" t="inlineStr">
        <is>
          <t>unlock</t>
        </is>
      </c>
      <c r="AJ3" s="5" t="inlineStr">
        <is>
          <t>enabled</t>
        </is>
      </c>
      <c r="AK3" s="5" t="inlineStr">
        <is>
          <t>suggested_cost</t>
        </is>
      </c>
      <c r="AL3" s="5" t="inlineStr">
        <is>
          <t>cost_delta</t>
        </is>
      </c>
      <c r="AM3" s="5" t="inlineStr">
        <is>
          <t>notes</t>
        </is>
      </c>
    </row>
    <row r="4">
      <c r="A4" s="6" t="inlineStr">
        <is>
          <t>LIVE</t>
        </is>
      </c>
      <c r="B4" s="6" t="inlineStr">
        <is>
          <t>LIVE</t>
        </is>
      </c>
      <c r="C4" s="6" t="inlineStr">
        <is>
          <t>LIVE</t>
        </is>
      </c>
      <c r="D4" s="6" t="inlineStr">
        <is>
          <t>LIVE</t>
        </is>
      </c>
      <c r="E4" s="6" t="inlineStr">
        <is>
          <t>LIVE</t>
        </is>
      </c>
      <c r="F4" s="6" t="inlineStr">
        <is>
          <t>LIVE</t>
        </is>
      </c>
      <c r="G4" s="6" t="inlineStr">
        <is>
          <t>LIVE</t>
        </is>
      </c>
      <c r="H4" s="6" t="inlineStr">
        <is>
          <t>LIVE</t>
        </is>
      </c>
      <c r="I4" s="6" t="inlineStr">
        <is>
          <t>LIVE</t>
        </is>
      </c>
      <c r="J4" s="7" t="inlineStr">
        <is>
          <t>planned</t>
        </is>
      </c>
      <c r="K4" s="7" t="inlineStr">
        <is>
          <t>planned</t>
        </is>
      </c>
      <c r="L4" s="6" t="inlineStr">
        <is>
          <t>LIVE</t>
        </is>
      </c>
      <c r="M4" s="7" t="inlineStr">
        <is>
          <t>planned</t>
        </is>
      </c>
      <c r="N4" s="7" t="inlineStr">
        <is>
          <t>planned</t>
        </is>
      </c>
      <c r="O4" s="7" t="inlineStr">
        <is>
          <t>planned</t>
        </is>
      </c>
      <c r="P4" s="7" t="inlineStr">
        <is>
          <t>planned</t>
        </is>
      </c>
      <c r="Q4" s="7" t="inlineStr">
        <is>
          <t>planned</t>
        </is>
      </c>
      <c r="R4" s="7" t="inlineStr">
        <is>
          <t>planned</t>
        </is>
      </c>
      <c r="S4" s="7" t="inlineStr">
        <is>
          <t>planned</t>
        </is>
      </c>
      <c r="T4" s="7" t="inlineStr">
        <is>
          <t>planned</t>
        </is>
      </c>
      <c r="U4" s="6" t="inlineStr">
        <is>
          <t>LIVE</t>
        </is>
      </c>
      <c r="V4" s="6" t="inlineStr">
        <is>
          <t>LIVE</t>
        </is>
      </c>
      <c r="W4" s="6" t="inlineStr">
        <is>
          <t>LIVE</t>
        </is>
      </c>
      <c r="X4" s="6" t="inlineStr">
        <is>
          <t>LIVE</t>
        </is>
      </c>
      <c r="Y4" s="6" t="inlineStr">
        <is>
          <t>LIVE</t>
        </is>
      </c>
      <c r="Z4" s="6" t="inlineStr">
        <is>
          <t>LIVE</t>
        </is>
      </c>
      <c r="AA4" s="6" t="inlineStr">
        <is>
          <t>LIVE</t>
        </is>
      </c>
      <c r="AB4" s="7" t="inlineStr">
        <is>
          <t>planned</t>
        </is>
      </c>
      <c r="AC4" s="6" t="inlineStr">
        <is>
          <t>LIVE</t>
        </is>
      </c>
      <c r="AD4" s="7" t="inlineStr">
        <is>
          <t>planned</t>
        </is>
      </c>
      <c r="AE4" s="7" t="inlineStr">
        <is>
          <t>planned</t>
        </is>
      </c>
      <c r="AF4" s="7" t="inlineStr">
        <is>
          <t>planned</t>
        </is>
      </c>
      <c r="AG4" s="7" t="inlineStr">
        <is>
          <t>planned</t>
        </is>
      </c>
      <c r="AH4" s="7" t="inlineStr">
        <is>
          <t>planned</t>
        </is>
      </c>
      <c r="AI4" s="7" t="inlineStr">
        <is>
          <t>planned</t>
        </is>
      </c>
      <c r="AJ4" s="7" t="inlineStr">
        <is>
          <t>planned</t>
        </is>
      </c>
      <c r="AK4" s="7" t="inlineStr">
        <is>
          <t>planned</t>
        </is>
      </c>
      <c r="AL4" s="7" t="inlineStr">
        <is>
          <t>planned</t>
        </is>
      </c>
      <c r="AM4" s="7" t="inlineStr">
        <is>
          <t>planned</t>
        </is>
      </c>
    </row>
    <row r="5">
      <c r="A5" s="8" t="inlineStr">
        <is>
          <t>ATK_ANGER</t>
        </is>
      </c>
      <c r="B5" s="8" t="inlineStr">
        <is>
          <t>Heated Punch</t>
        </is>
      </c>
      <c r="C5" s="8" t="inlineStr">
        <is>
          <t>ANGER</t>
        </is>
      </c>
      <c r="D5" s="8" t="n">
        <v>20</v>
      </c>
      <c r="E5" s="8" t="inlineStr">
        <is>
          <t>DAMAGE</t>
        </is>
      </c>
      <c r="F5" s="8" t="n">
        <v>35</v>
      </c>
      <c r="G5" s="8" t="n">
        <v>0</v>
      </c>
      <c r="H5" s="8" t="n">
        <v>1</v>
      </c>
      <c r="I5" s="8" t="inlineStr">
        <is>
          <t>BOLT</t>
        </is>
      </c>
      <c r="J5" s="8" t="inlineStr">
        <is>
          <t>ENEMY</t>
        </is>
      </c>
      <c r="K5" s="8" t="inlineStr">
        <is>
          <t>SINGLE</t>
        </is>
      </c>
      <c r="L5" s="8" t="n">
        <v>0</v>
      </c>
      <c r="M5" s="8" t="n">
        <v>0</v>
      </c>
      <c r="N5" s="8" t="n">
        <v>0</v>
      </c>
      <c r="O5" s="8" t="n">
        <v>0</v>
      </c>
      <c r="P5" s="8" t="n">
        <v>0</v>
      </c>
      <c r="Q5" s="8" t="n">
        <v>0</v>
      </c>
      <c r="R5" s="8" t="n">
        <v>0</v>
      </c>
      <c r="S5" s="8" t="n">
        <v>0</v>
      </c>
      <c r="T5" s="8" t="n">
        <v>1</v>
      </c>
      <c r="U5" s="8" t="n">
        <v>1</v>
      </c>
      <c r="V5" s="8" t="n">
        <v>3</v>
      </c>
      <c r="W5" s="8" t="inlineStr">
        <is>
          <t>Attack. Cracks the outermost {LAYER}.</t>
        </is>
      </c>
      <c r="X5" s="8" t="n">
        <v>0</v>
      </c>
      <c r="Y5" s="8" t="inlineStr"/>
      <c r="Z5" s="8" t="inlineStr"/>
      <c r="AA5" s="8" t="inlineStr"/>
      <c r="AB5" s="8" t="n">
        <v>0</v>
      </c>
      <c r="AC5" s="8" t="n">
        <v>0</v>
      </c>
      <c r="AD5" s="8" t="inlineStr"/>
      <c r="AE5" s="8" t="inlineStr"/>
      <c r="AF5" s="8" t="inlineStr"/>
      <c r="AG5" s="8" t="inlineStr">
        <is>
          <t>LOWEST_MS</t>
        </is>
      </c>
      <c r="AH5" s="8" t="inlineStr">
        <is>
          <t>COMMON</t>
        </is>
      </c>
      <c r="AI5" s="8" t="inlineStr"/>
      <c r="AJ5" s="8" t="n">
        <v>1</v>
      </c>
      <c r="AK5" s="8">
        <f>ROUND(G5*0.6 + N5*0.4 + P5*0.7 + Q5*8 + ABS(L5)*0.3, 0)</f>
        <v/>
      </c>
      <c r="AL5" s="8">
        <f>IFERROR(D5-AG5,"")</f>
        <v/>
      </c>
      <c r="AM5" s="8" t="inlineStr"/>
    </row>
    <row r="6">
      <c r="A6" s="8" t="inlineStr">
        <is>
          <t>ATK_SADNESS</t>
        </is>
      </c>
      <c r="B6" s="8" t="inlineStr">
        <is>
          <t>Cold Shoulder</t>
        </is>
      </c>
      <c r="C6" s="8" t="inlineStr">
        <is>
          <t>SADNESS</t>
        </is>
      </c>
      <c r="D6" s="8" t="n">
        <v>20</v>
      </c>
      <c r="E6" s="8" t="inlineStr">
        <is>
          <t>DAMAGE</t>
        </is>
      </c>
      <c r="F6" s="8" t="n">
        <v>35</v>
      </c>
      <c r="G6" s="8" t="n">
        <v>0</v>
      </c>
      <c r="H6" s="8" t="n">
        <v>1</v>
      </c>
      <c r="I6" s="8" t="inlineStr">
        <is>
          <t>DROP</t>
        </is>
      </c>
      <c r="J6" s="8" t="inlineStr">
        <is>
          <t>ENEMY</t>
        </is>
      </c>
      <c r="K6" s="8" t="inlineStr">
        <is>
          <t>SINGLE</t>
        </is>
      </c>
      <c r="L6" s="8" t="n">
        <v>0</v>
      </c>
      <c r="M6" s="8" t="n">
        <v>0</v>
      </c>
      <c r="N6" s="8" t="n">
        <v>0</v>
      </c>
      <c r="O6" s="8" t="n">
        <v>0</v>
      </c>
      <c r="P6" s="8" t="n">
        <v>0</v>
      </c>
      <c r="Q6" s="8" t="n">
        <v>0</v>
      </c>
      <c r="R6" s="8" t="n">
        <v>0</v>
      </c>
      <c r="S6" s="8" t="n">
        <v>0</v>
      </c>
      <c r="T6" s="8" t="n">
        <v>1</v>
      </c>
      <c r="U6" s="8" t="n">
        <v>1</v>
      </c>
      <c r="V6" s="8" t="n">
        <v>3</v>
      </c>
      <c r="W6" s="8" t="inlineStr">
        <is>
          <t>Attack. Cracks the outermost {LAYER}.</t>
        </is>
      </c>
      <c r="X6" s="8" t="n">
        <v>0</v>
      </c>
      <c r="Y6" s="8" t="inlineStr"/>
      <c r="Z6" s="8" t="inlineStr"/>
      <c r="AA6" s="8" t="inlineStr"/>
      <c r="AB6" s="8" t="n">
        <v>0</v>
      </c>
      <c r="AC6" s="8" t="n">
        <v>0</v>
      </c>
      <c r="AD6" s="8" t="inlineStr"/>
      <c r="AE6" s="8" t="inlineStr"/>
      <c r="AF6" s="8" t="inlineStr"/>
      <c r="AG6" s="8" t="inlineStr">
        <is>
          <t>LOWEST_MS</t>
        </is>
      </c>
      <c r="AH6" s="8" t="inlineStr">
        <is>
          <t>COMMON</t>
        </is>
      </c>
      <c r="AI6" s="8" t="inlineStr"/>
      <c r="AJ6" s="8" t="n">
        <v>1</v>
      </c>
      <c r="AK6" s="8">
        <f>ROUND(G6*0.6 + N6*0.4 + P6*0.7 + Q6*8 + ABS(L6)*0.3, 0)</f>
        <v/>
      </c>
      <c r="AL6" s="8">
        <f>IFERROR(D6-AG6,"")</f>
        <v/>
      </c>
      <c r="AM6" s="8" t="inlineStr"/>
    </row>
    <row r="7">
      <c r="A7" s="8" t="inlineStr">
        <is>
          <t>ATK_JOY</t>
        </is>
      </c>
      <c r="B7" s="8" t="inlineStr">
        <is>
          <t>Manic Grin</t>
        </is>
      </c>
      <c r="C7" s="8" t="inlineStr">
        <is>
          <t>JOY</t>
        </is>
      </c>
      <c r="D7" s="8" t="n">
        <v>20</v>
      </c>
      <c r="E7" s="8" t="inlineStr">
        <is>
          <t>DAMAGE</t>
        </is>
      </c>
      <c r="F7" s="8" t="n">
        <v>35</v>
      </c>
      <c r="G7" s="8" t="n">
        <v>0</v>
      </c>
      <c r="H7" s="8" t="n">
        <v>1</v>
      </c>
      <c r="I7" s="8" t="inlineStr">
        <is>
          <t>SPARK</t>
        </is>
      </c>
      <c r="J7" s="8" t="inlineStr">
        <is>
          <t>ENEMY</t>
        </is>
      </c>
      <c r="K7" s="8" t="inlineStr">
        <is>
          <t>SINGLE</t>
        </is>
      </c>
      <c r="L7" s="8" t="n">
        <v>0</v>
      </c>
      <c r="M7" s="8" t="n">
        <v>0</v>
      </c>
      <c r="N7" s="8" t="n">
        <v>0</v>
      </c>
      <c r="O7" s="8" t="n">
        <v>0</v>
      </c>
      <c r="P7" s="8" t="n">
        <v>0</v>
      </c>
      <c r="Q7" s="8" t="n">
        <v>0</v>
      </c>
      <c r="R7" s="8" t="n">
        <v>0</v>
      </c>
      <c r="S7" s="8" t="n">
        <v>0</v>
      </c>
      <c r="T7" s="8" t="n">
        <v>1</v>
      </c>
      <c r="U7" s="8" t="n">
        <v>1</v>
      </c>
      <c r="V7" s="8" t="n">
        <v>3</v>
      </c>
      <c r="W7" s="8" t="inlineStr">
        <is>
          <t>Attack. Cracks the outermost {LAYER}.</t>
        </is>
      </c>
      <c r="X7" s="8" t="n">
        <v>0</v>
      </c>
      <c r="Y7" s="8" t="inlineStr"/>
      <c r="Z7" s="8" t="inlineStr"/>
      <c r="AA7" s="8" t="inlineStr"/>
      <c r="AB7" s="8" t="n">
        <v>0</v>
      </c>
      <c r="AC7" s="8" t="n">
        <v>0</v>
      </c>
      <c r="AD7" s="8" t="inlineStr"/>
      <c r="AE7" s="8" t="inlineStr"/>
      <c r="AF7" s="8" t="inlineStr"/>
      <c r="AG7" s="8" t="inlineStr">
        <is>
          <t>LOWEST_MS</t>
        </is>
      </c>
      <c r="AH7" s="8" t="inlineStr">
        <is>
          <t>COMMON</t>
        </is>
      </c>
      <c r="AI7" s="8" t="inlineStr"/>
      <c r="AJ7" s="8" t="n">
        <v>1</v>
      </c>
      <c r="AK7" s="8">
        <f>ROUND(G7*0.6 + N7*0.4 + P7*0.7 + Q7*8 + ABS(L7)*0.3, 0)</f>
        <v/>
      </c>
      <c r="AL7" s="8">
        <f>IFERROR(D7-AG7,"")</f>
        <v/>
      </c>
      <c r="AM7" s="8" t="inlineStr"/>
    </row>
    <row r="8">
      <c r="A8" s="8" t="inlineStr">
        <is>
          <t>DEFEND</t>
        </is>
      </c>
      <c r="B8" s="8" t="inlineStr">
        <is>
          <t>Block</t>
        </is>
      </c>
      <c r="C8" s="8" t="inlineStr"/>
      <c r="D8" s="8" t="n">
        <v>10</v>
      </c>
      <c r="E8" s="8" t="inlineStr">
        <is>
          <t>SHIELD</t>
        </is>
      </c>
      <c r="F8" s="8" t="n">
        <v>1</v>
      </c>
      <c r="G8" s="8" t="n">
        <v>0</v>
      </c>
      <c r="H8" s="8" t="n">
        <v>0</v>
      </c>
      <c r="I8" s="8" t="inlineStr">
        <is>
          <t>SHIELD</t>
        </is>
      </c>
      <c r="J8" s="8" t="inlineStr">
        <is>
          <t>SELF</t>
        </is>
      </c>
      <c r="K8" s="8" t="inlineStr">
        <is>
          <t>SINGLE</t>
        </is>
      </c>
      <c r="L8" s="8" t="n">
        <v>0</v>
      </c>
      <c r="M8" s="8" t="n">
        <v>0</v>
      </c>
      <c r="N8" s="8" t="n">
        <v>0</v>
      </c>
      <c r="O8" s="8" t="n">
        <v>0</v>
      </c>
      <c r="P8" s="8" t="n">
        <v>0</v>
      </c>
      <c r="Q8" s="8" t="n">
        <v>1</v>
      </c>
      <c r="R8" s="8" t="n">
        <v>0</v>
      </c>
      <c r="S8" s="8" t="n">
        <v>0</v>
      </c>
      <c r="T8" s="8" t="n">
        <v>1</v>
      </c>
      <c r="U8" s="8" t="n">
        <v>1</v>
      </c>
      <c r="V8" s="8" t="n">
        <v>3</v>
      </c>
      <c r="W8" s="8" t="inlineStr">
        <is>
          <t>Defence. Blocks the next hit outright.</t>
        </is>
      </c>
      <c r="X8" s="8" t="n">
        <v>1</v>
      </c>
      <c r="Y8" s="8" t="inlineStr"/>
      <c r="Z8" s="8" t="inlineStr"/>
      <c r="AA8" s="8" t="inlineStr"/>
      <c r="AB8" s="8" t="n">
        <v>0</v>
      </c>
      <c r="AC8" s="8" t="n">
        <v>0</v>
      </c>
      <c r="AD8" s="8" t="inlineStr"/>
      <c r="AE8" s="8" t="inlineStr"/>
      <c r="AF8" s="8" t="inlineStr"/>
      <c r="AG8" s="8" t="inlineStr">
        <is>
          <t>SELF</t>
        </is>
      </c>
      <c r="AH8" s="8" t="inlineStr">
        <is>
          <t>COMMON</t>
        </is>
      </c>
      <c r="AI8" s="8" t="inlineStr"/>
      <c r="AJ8" s="8" t="n">
        <v>1</v>
      </c>
      <c r="AK8" s="8">
        <f>ROUND(G8*0.6 + N8*0.4 + P8*0.7 + Q8*8 + ABS(L8)*0.3, 0)</f>
        <v/>
      </c>
      <c r="AL8" s="8">
        <f>IFERROR(D8-AG8,"")</f>
        <v/>
      </c>
      <c r="AM8" s="8" t="inlineStr"/>
    </row>
    <row r="9">
      <c r="A9" s="8" t="inlineStr">
        <is>
          <t>HVY_ANGER</t>
        </is>
      </c>
      <c r="B9" s="8" t="inlineStr">
        <is>
          <t>Rage</t>
        </is>
      </c>
      <c r="C9" s="8" t="inlineStr">
        <is>
          <t>ANGER</t>
        </is>
      </c>
      <c r="D9" s="8" t="n">
        <v>45</v>
      </c>
      <c r="E9" s="8" t="inlineStr">
        <is>
          <t>DAMAGE</t>
        </is>
      </c>
      <c r="F9" s="8" t="n">
        <v>90</v>
      </c>
      <c r="G9" s="8" t="n">
        <v>2</v>
      </c>
      <c r="H9" s="8" t="n">
        <v>1</v>
      </c>
      <c r="I9" s="8" t="inlineStr">
        <is>
          <t>BOLT</t>
        </is>
      </c>
      <c r="J9" s="8" t="inlineStr">
        <is>
          <t>ENEMY</t>
        </is>
      </c>
      <c r="K9" s="8" t="inlineStr">
        <is>
          <t>SINGLE</t>
        </is>
      </c>
      <c r="L9" s="8" t="n">
        <v>0</v>
      </c>
      <c r="M9" s="8" t="n">
        <v>0</v>
      </c>
      <c r="N9" s="8" t="n">
        <v>0</v>
      </c>
      <c r="O9" s="8" t="n">
        <v>0</v>
      </c>
      <c r="P9" s="8" t="n">
        <v>0</v>
      </c>
      <c r="Q9" s="8" t="n">
        <v>0</v>
      </c>
      <c r="R9" s="8" t="n">
        <v>0</v>
      </c>
      <c r="S9" s="8" t="n">
        <v>0</v>
      </c>
      <c r="T9" s="8" t="n">
        <v>1</v>
      </c>
      <c r="U9" s="8" t="n">
        <v>1</v>
      </c>
      <c r="V9" s="8" t="n">
        <v>2</v>
      </c>
      <c r="W9" s="8" t="inlineStr">
        <is>
          <t>Attack. *Charges* first, then hits for triple.</t>
        </is>
      </c>
      <c r="X9" s="8" t="n">
        <v>0</v>
      </c>
      <c r="Y9" s="8" t="inlineStr"/>
      <c r="Z9" s="8" t="inlineStr"/>
      <c r="AA9" s="8" t="inlineStr"/>
      <c r="AB9" s="8" t="n">
        <v>0</v>
      </c>
      <c r="AC9" s="8" t="n">
        <v>0</v>
      </c>
      <c r="AD9" s="8" t="inlineStr"/>
      <c r="AE9" s="8" t="inlineStr"/>
      <c r="AF9" s="8" t="inlineStr"/>
      <c r="AG9" s="8" t="inlineStr">
        <is>
          <t>LOWEST_MS</t>
        </is>
      </c>
      <c r="AH9" s="8" t="inlineStr">
        <is>
          <t>COMMON</t>
        </is>
      </c>
      <c r="AI9" s="8" t="inlineStr"/>
      <c r="AJ9" s="8" t="n">
        <v>1</v>
      </c>
      <c r="AK9" s="8">
        <f>ROUND(G9*0.6 + N9*0.4 + P9*0.7 + Q9*8 + ABS(L9)*0.3, 0)</f>
        <v/>
      </c>
      <c r="AL9" s="8">
        <f>IFERROR(D9-AG9,"")</f>
        <v/>
      </c>
      <c r="AM9" s="8" t="inlineStr"/>
    </row>
    <row r="10">
      <c r="A10" s="8" t="inlineStr">
        <is>
          <t>HVY_SADNESS</t>
        </is>
      </c>
      <c r="B10" s="8" t="inlineStr">
        <is>
          <t>Grief</t>
        </is>
      </c>
      <c r="C10" s="8" t="inlineStr">
        <is>
          <t>SADNESS</t>
        </is>
      </c>
      <c r="D10" s="8" t="n">
        <v>45</v>
      </c>
      <c r="E10" s="8" t="inlineStr">
        <is>
          <t>DAMAGE</t>
        </is>
      </c>
      <c r="F10" s="8" t="n">
        <v>90</v>
      </c>
      <c r="G10" s="8" t="n">
        <v>2</v>
      </c>
      <c r="H10" s="8" t="n">
        <v>1</v>
      </c>
      <c r="I10" s="8" t="inlineStr">
        <is>
          <t>DROP</t>
        </is>
      </c>
      <c r="J10" s="8" t="inlineStr">
        <is>
          <t>ENEMY</t>
        </is>
      </c>
      <c r="K10" s="8" t="inlineStr">
        <is>
          <t>SINGLE</t>
        </is>
      </c>
      <c r="L10" s="8" t="n">
        <v>0</v>
      </c>
      <c r="M10" s="8" t="n">
        <v>0</v>
      </c>
      <c r="N10" s="8" t="n">
        <v>0</v>
      </c>
      <c r="O10" s="8" t="n">
        <v>0</v>
      </c>
      <c r="P10" s="8" t="n">
        <v>0</v>
      </c>
      <c r="Q10" s="8" t="n">
        <v>0</v>
      </c>
      <c r="R10" s="8" t="n">
        <v>0</v>
      </c>
      <c r="S10" s="8" t="n">
        <v>0</v>
      </c>
      <c r="T10" s="8" t="n">
        <v>1</v>
      </c>
      <c r="U10" s="8" t="n">
        <v>1</v>
      </c>
      <c r="V10" s="8" t="n">
        <v>2</v>
      </c>
      <c r="W10" s="8" t="inlineStr">
        <is>
          <t>Attack. *Charges* first, then hits for triple.</t>
        </is>
      </c>
      <c r="X10" s="8" t="n">
        <v>0</v>
      </c>
      <c r="Y10" s="8" t="inlineStr"/>
      <c r="Z10" s="8" t="inlineStr"/>
      <c r="AA10" s="8" t="inlineStr"/>
      <c r="AB10" s="8" t="n">
        <v>0</v>
      </c>
      <c r="AC10" s="8" t="n">
        <v>0</v>
      </c>
      <c r="AD10" s="8" t="inlineStr"/>
      <c r="AE10" s="8" t="inlineStr"/>
      <c r="AF10" s="8" t="inlineStr"/>
      <c r="AG10" s="8" t="inlineStr">
        <is>
          <t>LOWEST_MS</t>
        </is>
      </c>
      <c r="AH10" s="8" t="inlineStr">
        <is>
          <t>COMMON</t>
        </is>
      </c>
      <c r="AI10" s="8" t="inlineStr"/>
      <c r="AJ10" s="8" t="n">
        <v>1</v>
      </c>
      <c r="AK10" s="8">
        <f>ROUND(G10*0.6 + N10*0.4 + P10*0.7 + Q10*8 + ABS(L10)*0.3, 0)</f>
        <v/>
      </c>
      <c r="AL10" s="8">
        <f>IFERROR(D10-AG10,"")</f>
        <v/>
      </c>
      <c r="AM10" s="8" t="inlineStr"/>
    </row>
    <row r="11">
      <c r="A11" s="8" t="inlineStr">
        <is>
          <t>HVY_JOY</t>
        </is>
      </c>
      <c r="B11" s="8" t="inlineStr">
        <is>
          <t>Mania</t>
        </is>
      </c>
      <c r="C11" s="8" t="inlineStr">
        <is>
          <t>JOY</t>
        </is>
      </c>
      <c r="D11" s="8" t="n">
        <v>60</v>
      </c>
      <c r="E11" s="8" t="inlineStr">
        <is>
          <t>DAMAGE</t>
        </is>
      </c>
      <c r="F11" s="8" t="n">
        <v>130</v>
      </c>
      <c r="G11" s="8" t="n">
        <v>3</v>
      </c>
      <c r="H11" s="8" t="n">
        <v>1</v>
      </c>
      <c r="I11" s="8" t="inlineStr">
        <is>
          <t>SPARK</t>
        </is>
      </c>
      <c r="J11" s="8" t="inlineStr">
        <is>
          <t>ENEMY</t>
        </is>
      </c>
      <c r="K11" s="8" t="inlineStr">
        <is>
          <t>SINGLE</t>
        </is>
      </c>
      <c r="L11" s="8" t="n">
        <v>0</v>
      </c>
      <c r="M11" s="8" t="n">
        <v>0</v>
      </c>
      <c r="N11" s="8" t="n">
        <v>0</v>
      </c>
      <c r="O11" s="8" t="n">
        <v>0</v>
      </c>
      <c r="P11" s="8" t="n">
        <v>0</v>
      </c>
      <c r="Q11" s="8" t="n">
        <v>0</v>
      </c>
      <c r="R11" s="8" t="n">
        <v>0</v>
      </c>
      <c r="S11" s="8" t="n">
        <v>0</v>
      </c>
      <c r="T11" s="8" t="n">
        <v>1</v>
      </c>
      <c r="U11" s="8" t="n">
        <v>1</v>
      </c>
      <c r="V11" s="8" t="n">
        <v>2</v>
      </c>
      <c r="W11" s="8" t="inlineStr">
        <is>
          <t>Attack. The hardest hit there is, after a long *charge*.</t>
        </is>
      </c>
      <c r="X11" s="8" t="n">
        <v>0</v>
      </c>
      <c r="Y11" s="8" t="inlineStr"/>
      <c r="Z11" s="8" t="inlineStr"/>
      <c r="AA11" s="8" t="inlineStr"/>
      <c r="AB11" s="8" t="n">
        <v>0</v>
      </c>
      <c r="AC11" s="8" t="n">
        <v>0</v>
      </c>
      <c r="AD11" s="8" t="inlineStr"/>
      <c r="AE11" s="8" t="inlineStr"/>
      <c r="AF11" s="8" t="inlineStr"/>
      <c r="AG11" s="8" t="inlineStr">
        <is>
          <t>LOWEST_MS</t>
        </is>
      </c>
      <c r="AH11" s="8" t="inlineStr">
        <is>
          <t>COMMON</t>
        </is>
      </c>
      <c r="AI11" s="8" t="inlineStr"/>
      <c r="AJ11" s="8" t="n">
        <v>1</v>
      </c>
      <c r="AK11" s="8">
        <f>ROUND(G11*0.6 + N11*0.4 + P11*0.7 + Q11*8 + ABS(L11)*0.3, 0)</f>
        <v/>
      </c>
      <c r="AL11" s="8">
        <f>IFERROR(D11-AG11,"")</f>
        <v/>
      </c>
      <c r="AM11" s="8" t="inlineStr"/>
    </row>
    <row r="12">
      <c r="A12" s="8" t="inlineStr">
        <is>
          <t>RECHARGE</t>
        </is>
      </c>
      <c r="B12" s="8" t="inlineStr">
        <is>
          <t>Recharge</t>
        </is>
      </c>
      <c r="C12" s="8" t="inlineStr"/>
      <c r="D12" s="8" t="n">
        <v>0</v>
      </c>
      <c r="E12" s="8" t="inlineStr">
        <is>
          <t>CHARGE</t>
        </is>
      </c>
      <c r="F12" s="8" t="n">
        <v>20</v>
      </c>
      <c r="G12" s="8" t="n">
        <v>0</v>
      </c>
      <c r="H12" s="8" t="n">
        <v>0</v>
      </c>
      <c r="I12" s="8" t="inlineStr">
        <is>
          <t>CHARGE</t>
        </is>
      </c>
      <c r="J12" s="8" t="inlineStr">
        <is>
          <t>SELF</t>
        </is>
      </c>
      <c r="K12" s="8" t="inlineStr">
        <is>
          <t>SINGLE</t>
        </is>
      </c>
      <c r="L12" s="8" t="n">
        <v>5</v>
      </c>
      <c r="M12" s="8" t="n">
        <v>0</v>
      </c>
      <c r="N12" s="8" t="n">
        <v>0</v>
      </c>
      <c r="O12" s="8" t="n">
        <v>0</v>
      </c>
      <c r="P12" s="8" t="n">
        <v>0</v>
      </c>
      <c r="Q12" s="8" t="n">
        <v>0</v>
      </c>
      <c r="R12" s="8" t="n">
        <v>0</v>
      </c>
      <c r="S12" s="8" t="n">
        <v>0</v>
      </c>
      <c r="T12" s="8" t="n">
        <v>1</v>
      </c>
      <c r="U12" s="8" t="n">
        <v>1</v>
      </c>
      <c r="V12" s="8" t="n">
        <v>3</v>
      </c>
      <c r="W12" s="8" t="inlineStr">
        <is>
          <t>Buff. Trades your own {MS} for {EC}.</t>
        </is>
      </c>
      <c r="X12" s="8" t="n">
        <v>1</v>
      </c>
      <c r="Y12" s="8" t="inlineStr"/>
      <c r="Z12" s="8" t="inlineStr"/>
      <c r="AA12" s="8" t="inlineStr"/>
      <c r="AB12" s="8" t="n">
        <v>0</v>
      </c>
      <c r="AC12" s="8" t="n">
        <v>0</v>
      </c>
      <c r="AD12" s="8" t="inlineStr"/>
      <c r="AE12" s="8" t="inlineStr"/>
      <c r="AF12" s="8" t="inlineStr"/>
      <c r="AG12" s="8" t="inlineStr">
        <is>
          <t>SELF</t>
        </is>
      </c>
      <c r="AH12" s="8" t="inlineStr">
        <is>
          <t>COMMON</t>
        </is>
      </c>
      <c r="AI12" s="8" t="inlineStr"/>
      <c r="AJ12" s="8" t="n">
        <v>1</v>
      </c>
      <c r="AK12" s="8">
        <f>ROUND(G12*0.6 + N12*0.4 + P12*0.7 + Q12*8 + ABS(L12)*0.3, 0)</f>
        <v/>
      </c>
      <c r="AL12" s="8">
        <f>IFERROR(D12-AG12,"")</f>
        <v/>
      </c>
      <c r="AM12" s="8" t="inlineStr">
        <is>
          <t>Gains 20 EC and costs 5 of your own MS — which also lowers your ceiling.</t>
        </is>
      </c>
    </row>
    <row r="13">
      <c r="A13" s="8" t="inlineStr">
        <is>
          <t>GEN_DISGUST</t>
        </is>
      </c>
      <c r="B13" s="8" t="inlineStr">
        <is>
          <t>Bile</t>
        </is>
      </c>
      <c r="C13" s="8" t="inlineStr">
        <is>
          <t>DISGUST</t>
        </is>
      </c>
      <c r="D13" s="8" t="n">
        <v>15</v>
      </c>
      <c r="E13" s="8" t="inlineStr">
        <is>
          <t>ADDLAYER</t>
        </is>
      </c>
      <c r="F13" s="8" t="n">
        <v>1</v>
      </c>
      <c r="G13" s="8" t="n">
        <v>0</v>
      </c>
      <c r="H13" s="8" t="n">
        <v>0</v>
      </c>
      <c r="I13" s="8" t="inlineStr">
        <is>
          <t>ROT</t>
        </is>
      </c>
      <c r="J13" s="8" t="inlineStr">
        <is>
          <t>SELF</t>
        </is>
      </c>
      <c r="K13" s="8" t="inlineStr">
        <is>
          <t>SINGLE</t>
        </is>
      </c>
      <c r="L13" s="8" t="n">
        <v>0</v>
      </c>
      <c r="M13" s="8" t="n">
        <v>0</v>
      </c>
      <c r="N13" s="8" t="n">
        <v>0</v>
      </c>
      <c r="O13" s="8" t="n">
        <v>0</v>
      </c>
      <c r="P13" s="8" t="n">
        <v>0</v>
      </c>
      <c r="Q13" s="8" t="n">
        <v>0</v>
      </c>
      <c r="R13" s="8" t="n">
        <v>0</v>
      </c>
      <c r="S13" s="8" t="n">
        <v>0</v>
      </c>
      <c r="T13" s="8" t="n">
        <v>1</v>
      </c>
      <c r="U13" s="8" t="n">
        <v>1</v>
      </c>
      <c r="V13" s="8" t="n">
        <v>2</v>
      </c>
      <c r="W13" s="8" t="inlineStr">
        <is>
          <t>Defence. Grows a {LAYER} that *never regrows* once broken.</t>
        </is>
      </c>
      <c r="X13" s="8" t="n">
        <v>0</v>
      </c>
      <c r="Y13" s="8" t="inlineStr"/>
      <c r="Z13" s="8" t="inlineStr"/>
      <c r="AA13" s="8" t="inlineStr"/>
      <c r="AB13" s="8" t="n">
        <v>0</v>
      </c>
      <c r="AC13" s="8" t="n">
        <v>0</v>
      </c>
      <c r="AD13" s="8" t="inlineStr"/>
      <c r="AE13" s="8" t="inlineStr"/>
      <c r="AF13" s="8" t="inlineStr"/>
      <c r="AG13" s="8" t="inlineStr">
        <is>
          <t>SELF</t>
        </is>
      </c>
      <c r="AH13" s="8" t="inlineStr">
        <is>
          <t>COMMON</t>
        </is>
      </c>
      <c r="AI13" s="8" t="inlineStr"/>
      <c r="AJ13" s="8" t="n">
        <v>1</v>
      </c>
      <c r="AK13" s="8">
        <f>ROUND(G13*0.6 + N13*0.4 + P13*0.7 + Q13*8 + ABS(L13)*0.3, 0)</f>
        <v/>
      </c>
      <c r="AL13" s="8">
        <f>IFERROR(D13-AG13,"")</f>
        <v/>
      </c>
      <c r="AM13" s="8" t="inlineStr">
        <is>
          <t>Grows one extra Disgust layer. Grown layers are TEMPORARY: once broken they never regrow.</t>
        </is>
      </c>
    </row>
    <row r="14">
      <c r="A14" s="8" t="inlineStr">
        <is>
          <t>GEN_ANGER</t>
        </is>
      </c>
      <c r="B14" s="8" t="inlineStr">
        <is>
          <t>Bristle</t>
        </is>
      </c>
      <c r="C14" s="8" t="inlineStr">
        <is>
          <t>ANGER</t>
        </is>
      </c>
      <c r="D14" s="8" t="n">
        <v>15</v>
      </c>
      <c r="E14" s="8" t="inlineStr">
        <is>
          <t>ADDLAYER</t>
        </is>
      </c>
      <c r="F14" s="8" t="n">
        <v>1</v>
      </c>
      <c r="G14" s="8" t="n">
        <v>0</v>
      </c>
      <c r="H14" s="8" t="n">
        <v>0</v>
      </c>
      <c r="I14" s="8" t="inlineStr">
        <is>
          <t>ROT</t>
        </is>
      </c>
      <c r="J14" s="8" t="inlineStr">
        <is>
          <t>SELF</t>
        </is>
      </c>
      <c r="K14" s="8" t="inlineStr">
        <is>
          <t>SINGLE</t>
        </is>
      </c>
      <c r="L14" s="8" t="n">
        <v>0</v>
      </c>
      <c r="M14" s="8" t="n">
        <v>0</v>
      </c>
      <c r="N14" s="8" t="n">
        <v>0</v>
      </c>
      <c r="O14" s="8" t="n">
        <v>0</v>
      </c>
      <c r="P14" s="8" t="n">
        <v>0</v>
      </c>
      <c r="Q14" s="8" t="n">
        <v>0</v>
      </c>
      <c r="R14" s="8" t="n">
        <v>0</v>
      </c>
      <c r="S14" s="8" t="n">
        <v>0</v>
      </c>
      <c r="T14" s="8" t="n">
        <v>1</v>
      </c>
      <c r="U14" s="8" t="n">
        <v>1</v>
      </c>
      <c r="V14" s="8" t="n">
        <v>2</v>
      </c>
      <c r="W14" s="8" t="inlineStr">
        <is>
          <t>Defence. Grows a {LAYER} that *never regrows* once broken.</t>
        </is>
      </c>
      <c r="X14" s="8" t="n">
        <v>0</v>
      </c>
      <c r="Y14" s="8" t="inlineStr"/>
      <c r="Z14" s="8" t="inlineStr"/>
      <c r="AA14" s="8" t="inlineStr"/>
      <c r="AB14" s="8" t="n">
        <v>0</v>
      </c>
      <c r="AC14" s="8" t="n">
        <v>0</v>
      </c>
      <c r="AD14" s="8" t="inlineStr"/>
      <c r="AE14" s="8" t="inlineStr"/>
      <c r="AF14" s="8" t="inlineStr"/>
      <c r="AG14" s="8" t="inlineStr">
        <is>
          <t>SELF</t>
        </is>
      </c>
      <c r="AH14" s="8" t="inlineStr">
        <is>
          <t>COMMON</t>
        </is>
      </c>
      <c r="AI14" s="8" t="inlineStr"/>
      <c r="AJ14" s="8" t="n">
        <v>1</v>
      </c>
      <c r="AK14" s="8">
        <f>ROUND(G14*0.6 + N14*0.4 + P14*0.7 + Q14*8 + ABS(L14)*0.3, 0)</f>
        <v/>
      </c>
      <c r="AL14" s="8">
        <f>IFERROR(D14-AG14,"")</f>
        <v/>
      </c>
      <c r="AM14" s="8" t="inlineStr">
        <is>
          <t>Grows one extra Anger layer. Grown layers are TEMPORARY: once broken they never regrow.</t>
        </is>
      </c>
    </row>
    <row r="15">
      <c r="A15" s="8" t="inlineStr">
        <is>
          <t>GEN_JOY</t>
        </is>
      </c>
      <c r="B15" s="8" t="inlineStr">
        <is>
          <t>Good Vibes</t>
        </is>
      </c>
      <c r="C15" s="8" t="inlineStr">
        <is>
          <t>JOY</t>
        </is>
      </c>
      <c r="D15" s="8" t="n">
        <v>15</v>
      </c>
      <c r="E15" s="8" t="inlineStr">
        <is>
          <t>ADDLAYER</t>
        </is>
      </c>
      <c r="F15" s="8" t="n">
        <v>1</v>
      </c>
      <c r="G15" s="8" t="n">
        <v>0</v>
      </c>
      <c r="H15" s="8" t="n">
        <v>0</v>
      </c>
      <c r="I15" s="8" t="inlineStr">
        <is>
          <t>SPARK</t>
        </is>
      </c>
      <c r="J15" s="8" t="inlineStr">
        <is>
          <t>SELF</t>
        </is>
      </c>
      <c r="K15" s="8" t="inlineStr">
        <is>
          <t>SINGLE</t>
        </is>
      </c>
      <c r="L15" s="8" t="n">
        <v>0</v>
      </c>
      <c r="M15" s="8" t="n">
        <v>0</v>
      </c>
      <c r="N15" s="8" t="n">
        <v>0</v>
      </c>
      <c r="O15" s="8" t="n">
        <v>0</v>
      </c>
      <c r="P15" s="8" t="n">
        <v>0</v>
      </c>
      <c r="Q15" s="8" t="n">
        <v>0</v>
      </c>
      <c r="R15" s="8" t="n">
        <v>0</v>
      </c>
      <c r="S15" s="8" t="n">
        <v>0</v>
      </c>
      <c r="T15" s="8" t="n">
        <v>1</v>
      </c>
      <c r="U15" s="8" t="n">
        <v>1</v>
      </c>
      <c r="V15" s="8" t="n">
        <v>2</v>
      </c>
      <c r="W15" s="8" t="inlineStr">
        <is>
          <t>Defence. Grows a {LAYER} that *never regrows* once broken.</t>
        </is>
      </c>
      <c r="X15" s="8" t="n">
        <v>0</v>
      </c>
      <c r="Y15" s="8" t="inlineStr"/>
      <c r="Z15" s="8" t="inlineStr"/>
      <c r="AA15" s="8" t="inlineStr"/>
      <c r="AB15" s="8" t="n">
        <v>0</v>
      </c>
      <c r="AC15" s="8" t="n">
        <v>0</v>
      </c>
      <c r="AD15" s="8" t="inlineStr"/>
      <c r="AE15" s="8" t="inlineStr"/>
      <c r="AF15" s="8" t="inlineStr"/>
      <c r="AG15" s="8" t="inlineStr">
        <is>
          <t>SELF</t>
        </is>
      </c>
      <c r="AH15" s="8" t="inlineStr">
        <is>
          <t>COMMON</t>
        </is>
      </c>
      <c r="AI15" s="8" t="inlineStr"/>
      <c r="AJ15" s="8" t="n">
        <v>1</v>
      </c>
      <c r="AK15" s="8">
        <f>ROUND(G15*0.6 + N15*0.4 + P15*0.7 + Q15*8 + ABS(L15)*0.3, 0)</f>
        <v/>
      </c>
      <c r="AL15" s="8">
        <f>IFERROR(D15-AG15,"")</f>
        <v/>
      </c>
      <c r="AM15" s="8" t="inlineStr">
        <is>
          <t>Grows one extra Joy layer. Grown layers are TEMPORARY: once broken they never regrow.</t>
        </is>
      </c>
    </row>
    <row r="16">
      <c r="A16" s="8" t="inlineStr">
        <is>
          <t>ROT</t>
        </is>
      </c>
      <c r="B16" s="8" t="inlineStr">
        <is>
          <t>Fester</t>
        </is>
      </c>
      <c r="C16" s="8" t="inlineStr">
        <is>
          <t>DISGUST</t>
        </is>
      </c>
      <c r="D16" s="8" t="n">
        <v>25</v>
      </c>
      <c r="E16" s="8" t="inlineStr">
        <is>
          <t>DEBUFF</t>
        </is>
      </c>
      <c r="F16" s="8" t="n">
        <v>0</v>
      </c>
      <c r="G16" s="8" t="n">
        <v>0</v>
      </c>
      <c r="H16" s="8" t="n">
        <v>0</v>
      </c>
      <c r="I16" s="8" t="inlineStr">
        <is>
          <t>ROT</t>
        </is>
      </c>
      <c r="J16" s="8" t="inlineStr">
        <is>
          <t>ENEMY</t>
        </is>
      </c>
      <c r="K16" s="8" t="inlineStr">
        <is>
          <t>SINGLE</t>
        </is>
      </c>
      <c r="L16" s="8" t="n">
        <v>0</v>
      </c>
      <c r="M16" s="8" t="n">
        <v>0</v>
      </c>
      <c r="N16" s="8" t="n">
        <v>0</v>
      </c>
      <c r="O16" s="8" t="n">
        <v>0</v>
      </c>
      <c r="P16" s="8" t="n">
        <v>0</v>
      </c>
      <c r="Q16" s="8" t="n">
        <v>0</v>
      </c>
      <c r="R16" s="8" t="n">
        <v>0</v>
      </c>
      <c r="S16" s="8" t="n">
        <v>0</v>
      </c>
      <c r="T16" s="8" t="n">
        <v>1</v>
      </c>
      <c r="U16" s="8" t="n">
        <v>1</v>
      </c>
      <c r="V16" s="8" t="n">
        <v>2</v>
      </c>
      <c r="W16" s="8" t="inlineStr">
        <is>
          <t>Debuff. Target cannot regrow *2* {LAYERS} for *2 turns*.</t>
        </is>
      </c>
      <c r="X16" s="8" t="n">
        <v>0</v>
      </c>
      <c r="Y16" s="8" t="inlineStr"/>
      <c r="Z16" s="8" t="inlineStr"/>
      <c r="AA16" s="8" t="inlineStr">
        <is>
          <t>NO_REGEN</t>
        </is>
      </c>
      <c r="AB16" s="8" t="n">
        <v>0</v>
      </c>
      <c r="AC16" s="8" t="n">
        <v>2</v>
      </c>
      <c r="AD16" s="8" t="inlineStr"/>
      <c r="AE16" s="8" t="inlineStr"/>
      <c r="AF16" s="8" t="inlineStr"/>
      <c r="AG16" s="8" t="inlineStr">
        <is>
          <t>LOWEST_MS</t>
        </is>
      </c>
      <c r="AH16" s="8" t="inlineStr">
        <is>
          <t>COMMON</t>
        </is>
      </c>
      <c r="AI16" s="8" t="inlineStr"/>
      <c r="AJ16" s="8" t="n">
        <v>1</v>
      </c>
      <c r="AK16" s="8">
        <f>ROUND(G16*0.6 + N16*0.4 + P16*0.7 + Q16*8 + ABS(L16)*0.3, 0)</f>
        <v/>
      </c>
      <c r="AL16" s="8">
        <f>IFERROR(D16-AG16,"")</f>
        <v/>
      </c>
      <c r="AM16" s="8" t="inlineStr">
        <is>
          <t>For 2 turns the target cannot regrow 2 of its broken layers.</t>
        </is>
      </c>
    </row>
    <row r="17">
      <c r="A17" s="8" t="inlineStr">
        <is>
          <t>INFLICT_SAD</t>
        </is>
      </c>
      <c r="B17" s="8" t="inlineStr">
        <is>
          <t>Self-Harm</t>
        </is>
      </c>
      <c r="C17" s="8" t="inlineStr">
        <is>
          <t>SADNESS</t>
        </is>
      </c>
      <c r="D17" s="8" t="n">
        <v>30</v>
      </c>
      <c r="E17" s="8" t="inlineStr">
        <is>
          <t>DEBUFF</t>
        </is>
      </c>
      <c r="F17" s="8" t="n">
        <v>0</v>
      </c>
      <c r="G17" s="8" t="n">
        <v>0</v>
      </c>
      <c r="H17" s="8" t="n">
        <v>0</v>
      </c>
      <c r="I17" s="8" t="inlineStr">
        <is>
          <t>DROP</t>
        </is>
      </c>
      <c r="J17" s="8" t="inlineStr">
        <is>
          <t>ENEMY</t>
        </is>
      </c>
      <c r="K17" s="8" t="inlineStr">
        <is>
          <t>SINGLE</t>
        </is>
      </c>
      <c r="L17" s="8" t="n">
        <v>0</v>
      </c>
      <c r="M17" s="8" t="n">
        <v>0</v>
      </c>
      <c r="N17" s="8" t="n">
        <v>0</v>
      </c>
      <c r="O17" s="8" t="n">
        <v>0</v>
      </c>
      <c r="P17" s="8" t="n">
        <v>0</v>
      </c>
      <c r="Q17" s="8" t="n">
        <v>0</v>
      </c>
      <c r="R17" s="8" t="n">
        <v>0</v>
      </c>
      <c r="S17" s="8" t="n">
        <v>0</v>
      </c>
      <c r="T17" s="8" t="n">
        <v>1</v>
      </c>
      <c r="U17" s="8" t="n">
        <v>1</v>
      </c>
      <c r="V17" s="8" t="n">
        <v>2</v>
      </c>
      <c r="W17" s="8" t="inlineStr">
        <is>
          <t>Status. Target attacks *itself* each round for *2 turns*.</t>
        </is>
      </c>
      <c r="X17" s="8" t="n">
        <v>0</v>
      </c>
      <c r="Y17" s="8" t="inlineStr"/>
      <c r="Z17" s="8" t="inlineStr"/>
      <c r="AA17" s="8" t="inlineStr">
        <is>
          <t>SAD</t>
        </is>
      </c>
      <c r="AB17" s="8" t="n">
        <v>0</v>
      </c>
      <c r="AC17" s="8" t="n">
        <v>2</v>
      </c>
      <c r="AD17" s="8" t="inlineStr"/>
      <c r="AE17" s="8" t="inlineStr"/>
      <c r="AF17" s="8" t="inlineStr"/>
      <c r="AG17" s="8" t="inlineStr">
        <is>
          <t>LOWEST_MS</t>
        </is>
      </c>
      <c r="AH17" s="8" t="inlineStr">
        <is>
          <t>COMMON</t>
        </is>
      </c>
      <c r="AI17" s="8" t="inlineStr"/>
      <c r="AJ17" s="8" t="n">
        <v>1</v>
      </c>
      <c r="AK17" s="8">
        <f>ROUND(G17*0.6 + N17*0.4 + P17*0.7 + Q17*8 + ABS(L17)*0.3, 0)</f>
        <v/>
      </c>
      <c r="AL17" s="8">
        <f>IFERROR(D17-AG17,"")</f>
        <v/>
      </c>
      <c r="AM17" s="8" t="inlineStr">
        <is>
          <t>Each round end the target turns one of its own attacks on itself. NOTE: distinct from SELF_HARM, which is the Overload-forced station.</t>
        </is>
      </c>
    </row>
    <row r="18">
      <c r="A18" s="8" t="inlineStr">
        <is>
          <t>BLIND</t>
        </is>
      </c>
      <c r="B18" s="8" t="inlineStr">
        <is>
          <t>Blinded by Hate</t>
        </is>
      </c>
      <c r="C18" s="8" t="inlineStr">
        <is>
          <t>ANGER</t>
        </is>
      </c>
      <c r="D18" s="8" t="n">
        <v>30</v>
      </c>
      <c r="E18" s="8" t="inlineStr">
        <is>
          <t>DEBUFF</t>
        </is>
      </c>
      <c r="F18" s="8" t="n">
        <v>0</v>
      </c>
      <c r="G18" s="8" t="n">
        <v>0</v>
      </c>
      <c r="H18" s="8" t="n">
        <v>0</v>
      </c>
      <c r="I18" s="8" t="inlineStr">
        <is>
          <t>EYE</t>
        </is>
      </c>
      <c r="J18" s="8" t="inlineStr">
        <is>
          <t>ENEMY</t>
        </is>
      </c>
      <c r="K18" s="8" t="inlineStr">
        <is>
          <t>SINGLE</t>
        </is>
      </c>
      <c r="L18" s="8" t="n">
        <v>0</v>
      </c>
      <c r="M18" s="8" t="n">
        <v>0</v>
      </c>
      <c r="N18" s="8" t="n">
        <v>0</v>
      </c>
      <c r="O18" s="8" t="n">
        <v>0</v>
      </c>
      <c r="P18" s="8" t="n">
        <v>0</v>
      </c>
      <c r="Q18" s="8" t="n">
        <v>0</v>
      </c>
      <c r="R18" s="8" t="n">
        <v>0</v>
      </c>
      <c r="S18" s="8" t="n">
        <v>0</v>
      </c>
      <c r="T18" s="8" t="n">
        <v>1</v>
      </c>
      <c r="U18" s="8" t="n">
        <v>1</v>
      </c>
      <c r="V18" s="8" t="n">
        <v>2</v>
      </c>
      <c r="W18" s="8" t="inlineStr">
        <is>
          <t>Debuff. Target *misses half* its attacks for *2 turns*.</t>
        </is>
      </c>
      <c r="X18" s="8" t="n">
        <v>0</v>
      </c>
      <c r="Y18" s="8" t="inlineStr"/>
      <c r="Z18" s="8" t="inlineStr"/>
      <c r="AA18" s="8" t="inlineStr">
        <is>
          <t>BLINDED</t>
        </is>
      </c>
      <c r="AB18" s="8" t="n">
        <v>0</v>
      </c>
      <c r="AC18" s="8" t="n">
        <v>2</v>
      </c>
      <c r="AD18" s="8" t="inlineStr"/>
      <c r="AE18" s="8" t="inlineStr"/>
      <c r="AF18" s="8" t="inlineStr"/>
      <c r="AG18" s="8" t="inlineStr">
        <is>
          <t>LOWEST_MS</t>
        </is>
      </c>
      <c r="AH18" s="8" t="inlineStr">
        <is>
          <t>COMMON</t>
        </is>
      </c>
      <c r="AI18" s="8" t="inlineStr"/>
      <c r="AJ18" s="8" t="n">
        <v>1</v>
      </c>
      <c r="AK18" s="8">
        <f>ROUND(G18*0.6 + N18*0.4 + P18*0.7 + Q18*8 + ABS(L18)*0.3, 0)</f>
        <v/>
      </c>
      <c r="AL18" s="8">
        <f>IFERROR(D18-AG18,"")</f>
        <v/>
      </c>
      <c r="AM18" s="8" t="inlineStr">
        <is>
          <t>ENEMY ability. The target misses half its attacks for 2 turns.</t>
        </is>
      </c>
    </row>
    <row r="19">
      <c r="A19" s="8" t="inlineStr">
        <is>
          <t>ATK_SURPRISE</t>
        </is>
      </c>
      <c r="B19" s="8" t="inlineStr">
        <is>
          <t>Sucker Punch</t>
        </is>
      </c>
      <c r="C19" s="8" t="inlineStr">
        <is>
          <t>SURPRISE</t>
        </is>
      </c>
      <c r="D19" s="8" t="n">
        <v>20</v>
      </c>
      <c r="E19" s="8" t="inlineStr">
        <is>
          <t>DAMAGE</t>
        </is>
      </c>
      <c r="F19" s="8" t="n">
        <v>35</v>
      </c>
      <c r="G19" s="8" t="n">
        <v>0</v>
      </c>
      <c r="H19" s="8" t="n">
        <v>1</v>
      </c>
      <c r="I19" s="8" t="inlineStr">
        <is>
          <t>BURST</t>
        </is>
      </c>
      <c r="J19" s="8" t="inlineStr">
        <is>
          <t>ENEMY</t>
        </is>
      </c>
      <c r="K19" s="8" t="inlineStr">
        <is>
          <t>SINGLE</t>
        </is>
      </c>
      <c r="L19" s="8" t="n">
        <v>0</v>
      </c>
      <c r="M19" s="8" t="n">
        <v>0</v>
      </c>
      <c r="N19" s="8" t="n">
        <v>0</v>
      </c>
      <c r="O19" s="8" t="n">
        <v>0</v>
      </c>
      <c r="P19" s="8" t="n">
        <v>0</v>
      </c>
      <c r="Q19" s="8" t="n">
        <v>0</v>
      </c>
      <c r="R19" s="8" t="n">
        <v>0</v>
      </c>
      <c r="S19" s="8" t="n">
        <v>0</v>
      </c>
      <c r="T19" s="8" t="n">
        <v>1</v>
      </c>
      <c r="U19" s="8" t="n">
        <v>1</v>
      </c>
      <c r="V19" s="8" t="n">
        <v>3</v>
      </c>
      <c r="W19" s="8" t="inlineStr">
        <is>
          <t>Attack. Cracks the outermost {LAYER}.</t>
        </is>
      </c>
      <c r="X19" s="8" t="n">
        <v>0</v>
      </c>
      <c r="Y19" s="8" t="inlineStr"/>
      <c r="Z19" s="8" t="inlineStr"/>
      <c r="AA19" s="8" t="inlineStr"/>
      <c r="AB19" s="8" t="n">
        <v>0</v>
      </c>
      <c r="AC19" s="8" t="n">
        <v>0</v>
      </c>
      <c r="AD19" s="8" t="inlineStr"/>
      <c r="AE19" s="8" t="inlineStr"/>
      <c r="AF19" s="8" t="inlineStr"/>
      <c r="AG19" s="8" t="inlineStr">
        <is>
          <t>LOWEST_MS</t>
        </is>
      </c>
      <c r="AH19" s="8" t="inlineStr">
        <is>
          <t>COMMON</t>
        </is>
      </c>
      <c r="AI19" s="8" t="inlineStr"/>
      <c r="AJ19" s="8" t="n">
        <v>1</v>
      </c>
      <c r="AK19" s="8">
        <f>ROUND(G19*0.6 + N19*0.4 + P19*0.7 + Q19*8 + ABS(L19)*0.3, 0)</f>
        <v/>
      </c>
      <c r="AL19" s="8">
        <f>IFERROR(D19-AG19,"")</f>
        <v/>
      </c>
      <c r="AM19" s="8" t="inlineStr"/>
    </row>
    <row r="20">
      <c r="A20" s="8" t="inlineStr">
        <is>
          <t>HVY_SURPRISE</t>
        </is>
      </c>
      <c r="B20" s="8" t="inlineStr">
        <is>
          <t>Whiplash</t>
        </is>
      </c>
      <c r="C20" s="8" t="inlineStr">
        <is>
          <t>SURPRISE</t>
        </is>
      </c>
      <c r="D20" s="8" t="n">
        <v>45</v>
      </c>
      <c r="E20" s="8" t="inlineStr">
        <is>
          <t>DAMAGE</t>
        </is>
      </c>
      <c r="F20" s="8" t="n">
        <v>90</v>
      </c>
      <c r="G20" s="8" t="n">
        <v>2</v>
      </c>
      <c r="H20" s="8" t="n">
        <v>1</v>
      </c>
      <c r="I20" s="8" t="inlineStr">
        <is>
          <t>BURST</t>
        </is>
      </c>
      <c r="J20" s="8" t="inlineStr">
        <is>
          <t>ENEMY</t>
        </is>
      </c>
      <c r="K20" s="8" t="inlineStr">
        <is>
          <t>SINGLE</t>
        </is>
      </c>
      <c r="L20" s="8" t="n">
        <v>0</v>
      </c>
      <c r="M20" s="8" t="n">
        <v>0</v>
      </c>
      <c r="N20" s="8" t="n">
        <v>0</v>
      </c>
      <c r="O20" s="8" t="n">
        <v>0</v>
      </c>
      <c r="P20" s="8" t="n">
        <v>0</v>
      </c>
      <c r="Q20" s="8" t="n">
        <v>0</v>
      </c>
      <c r="R20" s="8" t="n">
        <v>0</v>
      </c>
      <c r="S20" s="8" t="n">
        <v>0</v>
      </c>
      <c r="T20" s="8" t="n">
        <v>1</v>
      </c>
      <c r="U20" s="8" t="n">
        <v>1</v>
      </c>
      <c r="V20" s="8" t="n">
        <v>2</v>
      </c>
      <c r="W20" s="8" t="inlineStr">
        <is>
          <t>Attack. *Charges* first, then hits for triple.</t>
        </is>
      </c>
      <c r="X20" s="8" t="n">
        <v>0</v>
      </c>
      <c r="Y20" s="8" t="inlineStr"/>
      <c r="Z20" s="8" t="inlineStr"/>
      <c r="AA20" s="8" t="inlineStr"/>
      <c r="AB20" s="8" t="n">
        <v>0</v>
      </c>
      <c r="AC20" s="8" t="n">
        <v>0</v>
      </c>
      <c r="AD20" s="8" t="inlineStr"/>
      <c r="AE20" s="8" t="inlineStr"/>
      <c r="AF20" s="8" t="inlineStr"/>
      <c r="AG20" s="8" t="inlineStr">
        <is>
          <t>LOWEST_MS</t>
        </is>
      </c>
      <c r="AH20" s="8" t="inlineStr">
        <is>
          <t>COMMON</t>
        </is>
      </c>
      <c r="AI20" s="8" t="inlineStr"/>
      <c r="AJ20" s="8" t="n">
        <v>1</v>
      </c>
      <c r="AK20" s="8">
        <f>ROUND(G20*0.6 + N20*0.4 + P20*0.7 + Q20*8 + ABS(L20)*0.3, 0)</f>
        <v/>
      </c>
      <c r="AL20" s="8">
        <f>IFERROR(D20-AG20,"")</f>
        <v/>
      </c>
      <c r="AM20" s="8" t="inlineStr"/>
    </row>
    <row r="21">
      <c r="A21" s="8" t="inlineStr">
        <is>
          <t>MID_SURPRISE</t>
        </is>
      </c>
      <c r="B21" s="8" t="inlineStr">
        <is>
          <t>Double Take</t>
        </is>
      </c>
      <c r="C21" s="8" t="inlineStr">
        <is>
          <t>SURPRISE</t>
        </is>
      </c>
      <c r="D21" s="8" t="n">
        <v>30</v>
      </c>
      <c r="E21" s="8" t="inlineStr">
        <is>
          <t>DAMAGE</t>
        </is>
      </c>
      <c r="F21" s="8" t="n">
        <v>60</v>
      </c>
      <c r="G21" s="8" t="n">
        <v>1</v>
      </c>
      <c r="H21" s="8" t="n">
        <v>1</v>
      </c>
      <c r="I21" s="8" t="inlineStr">
        <is>
          <t>BURST</t>
        </is>
      </c>
      <c r="J21" s="8" t="inlineStr">
        <is>
          <t>ENEMY</t>
        </is>
      </c>
      <c r="K21" s="8" t="inlineStr">
        <is>
          <t>SINGLE</t>
        </is>
      </c>
      <c r="L21" s="8" t="n">
        <v>0</v>
      </c>
      <c r="M21" s="8" t="n">
        <v>0</v>
      </c>
      <c r="N21" s="8" t="n">
        <v>0</v>
      </c>
      <c r="O21" s="8" t="n">
        <v>0</v>
      </c>
      <c r="P21" s="8" t="n">
        <v>0</v>
      </c>
      <c r="Q21" s="8" t="n">
        <v>0</v>
      </c>
      <c r="R21" s="8" t="n">
        <v>0</v>
      </c>
      <c r="S21" s="8" t="n">
        <v>0</v>
      </c>
      <c r="T21" s="8" t="n">
        <v>1</v>
      </c>
      <c r="U21" s="8" t="n">
        <v>1</v>
      </c>
      <c r="V21" s="8" t="n">
        <v>2</v>
      </c>
      <c r="W21" s="8" t="inlineStr">
        <is>
          <t>Attack. *Charges* once, then hits hard.</t>
        </is>
      </c>
      <c r="X21" s="8" t="n">
        <v>0</v>
      </c>
      <c r="Y21" s="8" t="inlineStr"/>
      <c r="Z21" s="8" t="inlineStr"/>
      <c r="AA21" s="8" t="inlineStr"/>
      <c r="AB21" s="8" t="n">
        <v>0</v>
      </c>
      <c r="AC21" s="8" t="n">
        <v>0</v>
      </c>
      <c r="AD21" s="8" t="inlineStr"/>
      <c r="AE21" s="8" t="inlineStr"/>
      <c r="AF21" s="8" t="inlineStr"/>
      <c r="AG21" s="8" t="inlineStr">
        <is>
          <t>LOWEST_MS</t>
        </is>
      </c>
      <c r="AH21" s="8" t="inlineStr">
        <is>
          <t>COMMON</t>
        </is>
      </c>
      <c r="AI21" s="8" t="inlineStr"/>
      <c r="AJ21" s="8" t="n">
        <v>1</v>
      </c>
      <c r="AK21" s="8">
        <f>ROUND(G21*0.6 + N21*0.4 + P21*0.7 + Q21*8 + ABS(L21)*0.3, 0)</f>
        <v/>
      </c>
      <c r="AL21" s="8">
        <f>IFERROR(D21-AG21,"")</f>
        <v/>
      </c>
      <c r="AM21" s="8" t="inlineStr">
        <is>
          <t>Between ATK_SURPRISE and HVY_SURPRISE in every respect: one charging station rather than none or two, and power to match. The Set of Jolt is built around it.</t>
        </is>
      </c>
    </row>
    <row r="22">
      <c r="A22" s="8" t="inlineStr">
        <is>
          <t>STARTLE</t>
        </is>
      </c>
      <c r="B22" s="8" t="inlineStr">
        <is>
          <t>Out of Nowhere</t>
        </is>
      </c>
      <c r="C22" s="8" t="inlineStr">
        <is>
          <t>SURPRISE</t>
        </is>
      </c>
      <c r="D22" s="8" t="n">
        <v>25</v>
      </c>
      <c r="E22" s="8" t="inlineStr">
        <is>
          <t>DEBUFF</t>
        </is>
      </c>
      <c r="F22" s="8" t="n">
        <v>0</v>
      </c>
      <c r="G22" s="8" t="n">
        <v>0</v>
      </c>
      <c r="H22" s="8" t="n">
        <v>0</v>
      </c>
      <c r="I22" s="8" t="inlineStr">
        <is>
          <t>BURST</t>
        </is>
      </c>
      <c r="J22" s="8" t="inlineStr">
        <is>
          <t>ENEMY</t>
        </is>
      </c>
      <c r="K22" s="8" t="inlineStr">
        <is>
          <t>SINGLE</t>
        </is>
      </c>
      <c r="L22" s="8" t="n">
        <v>0</v>
      </c>
      <c r="M22" s="8" t="n">
        <v>0</v>
      </c>
      <c r="N22" s="8" t="n">
        <v>0</v>
      </c>
      <c r="O22" s="8" t="n">
        <v>0</v>
      </c>
      <c r="P22" s="8" t="n">
        <v>0</v>
      </c>
      <c r="Q22" s="8" t="n">
        <v>0</v>
      </c>
      <c r="R22" s="8" t="n">
        <v>0</v>
      </c>
      <c r="S22" s="8" t="n">
        <v>0</v>
      </c>
      <c r="T22" s="8" t="n">
        <v>1</v>
      </c>
      <c r="U22" s="8" t="n">
        <v>1</v>
      </c>
      <c r="V22" s="8" t="n">
        <v>2</v>
      </c>
      <c r="W22" s="8" t="inlineStr">
        <is>
          <t>Debuff. Target *misses a third* of its attacks for *2 turns*.</t>
        </is>
      </c>
      <c r="X22" s="8" t="n">
        <v>0</v>
      </c>
      <c r="Y22" s="8" t="inlineStr"/>
      <c r="Z22" s="8" t="inlineStr"/>
      <c r="AA22" s="8" t="inlineStr">
        <is>
          <t>RATTLED</t>
        </is>
      </c>
      <c r="AB22" s="8" t="n">
        <v>0</v>
      </c>
      <c r="AC22" s="8" t="n">
        <v>2</v>
      </c>
      <c r="AD22" s="8" t="inlineStr"/>
      <c r="AE22" s="8" t="inlineStr"/>
      <c r="AF22" s="8" t="inlineStr"/>
      <c r="AG22" s="8" t="inlineStr">
        <is>
          <t>LOWEST_MS</t>
        </is>
      </c>
      <c r="AH22" s="8" t="inlineStr">
        <is>
          <t>COMMON</t>
        </is>
      </c>
      <c r="AI22" s="8" t="inlineStr"/>
      <c r="AJ22" s="8" t="n">
        <v>1</v>
      </c>
      <c r="AK22" s="8">
        <f>ROUND(G22*0.6 + N22*0.4 + P22*0.7 + Q22*8 + ABS(L22)*0.3, 0)</f>
        <v/>
      </c>
      <c r="AL22" s="8">
        <f>IFERROR(D22-AG22,"")</f>
        <v/>
      </c>
      <c r="AM22" s="8" t="inlineStr">
        <is>
          <t>Surprise's debuff. Softer than BLIND and cheaper, because Surprise pays for it with a weaker basic economy rather than with a bigger bill.</t>
        </is>
      </c>
    </row>
    <row r="23">
      <c r="A23" s="8" t="inlineStr">
        <is>
          <t>DRUG_HIT</t>
        </is>
      </c>
      <c r="B23" s="8" t="inlineStr">
        <is>
          <t>Drug Hit</t>
        </is>
      </c>
      <c r="C23" s="8" t="inlineStr">
        <is>
          <t>SURPRISE</t>
        </is>
      </c>
      <c r="D23" s="8" t="n">
        <v>20</v>
      </c>
      <c r="E23" s="8" t="inlineStr">
        <is>
          <t>DAMAGE</t>
        </is>
      </c>
      <c r="F23" s="8" t="n">
        <v>35</v>
      </c>
      <c r="G23" s="8" t="n">
        <v>0</v>
      </c>
      <c r="H23" s="8" t="n">
        <v>1</v>
      </c>
      <c r="I23" s="8" t="inlineStr">
        <is>
          <t>BURST</t>
        </is>
      </c>
      <c r="J23" s="8" t="inlineStr">
        <is>
          <t>ENEMY</t>
        </is>
      </c>
      <c r="K23" s="8" t="inlineStr">
        <is>
          <t>SINGLE</t>
        </is>
      </c>
      <c r="L23" s="8" t="n">
        <v>0</v>
      </c>
      <c r="M23" s="8" t="n">
        <v>0</v>
      </c>
      <c r="N23" s="8" t="n">
        <v>0</v>
      </c>
      <c r="O23" s="8" t="n">
        <v>0</v>
      </c>
      <c r="P23" s="8" t="n">
        <v>0</v>
      </c>
      <c r="Q23" s="8" t="n">
        <v>0</v>
      </c>
      <c r="R23" s="8" t="n">
        <v>0</v>
      </c>
      <c r="S23" s="8" t="n">
        <v>0</v>
      </c>
      <c r="T23" s="8" t="n">
        <v>1</v>
      </c>
      <c r="U23" s="8" t="n">
        <v>1</v>
      </c>
      <c r="V23" s="8" t="n">
        <v>3</v>
      </c>
      <c r="W23" s="8" t="inlineStr">
        <is>
          <t>Attack. Cracks the outermost {LAYER} and leaves them *Dizzy* for a turn.</t>
        </is>
      </c>
      <c r="X23" s="8" t="n">
        <v>0</v>
      </c>
      <c r="Y23" s="8" t="inlineStr"/>
      <c r="Z23" s="8" t="inlineStr"/>
      <c r="AA23" s="8" t="inlineStr">
        <is>
          <t>DIZZY</t>
        </is>
      </c>
      <c r="AB23" s="8" t="n">
        <v>0</v>
      </c>
      <c r="AC23" s="8" t="n">
        <v>1</v>
      </c>
      <c r="AD23" s="8" t="inlineStr"/>
      <c r="AE23" s="8" t="inlineStr"/>
      <c r="AF23" s="8" t="inlineStr"/>
      <c r="AG23" s="8" t="inlineStr">
        <is>
          <t>LOWEST_MS</t>
        </is>
      </c>
      <c r="AH23" s="8" t="inlineStr">
        <is>
          <t>COMMON</t>
        </is>
      </c>
      <c r="AI23" s="8" t="inlineStr"/>
      <c r="AJ23" s="8" t="n">
        <v>1</v>
      </c>
      <c r="AK23" s="8">
        <f>ROUND(G23*0.6 + N23*0.4 + P23*0.7 + Q23*8 + ABS(L23)*0.3, 0)</f>
        <v/>
      </c>
      <c r="AL23" s="8">
        <f>IFERROR(D23-AG23,"")</f>
        <v/>
      </c>
      <c r="AM23" s="8" t="inlineStr">
        <is>
          <t>Costed as a BASIC - exactly ATK_SURPRISE's cost and power - because Dizzy lasts one turn and is a coin flip rather than a lock. The Set of Rush leaves it, and it is the only thing in that set, so it has to be worth carrying on its own.</t>
        </is>
      </c>
    </row>
    <row r="24">
      <c r="A24" s="8" t="inlineStr">
        <is>
          <t>ATK_DISGUST</t>
        </is>
      </c>
      <c r="B24" s="8" t="inlineStr">
        <is>
          <t>Sour Note</t>
        </is>
      </c>
      <c r="C24" s="8" t="inlineStr">
        <is>
          <t>DISGUST</t>
        </is>
      </c>
      <c r="D24" s="8" t="n">
        <v>12</v>
      </c>
      <c r="E24" s="8" t="inlineStr">
        <is>
          <t>DAMAGE</t>
        </is>
      </c>
      <c r="F24" s="8" t="n">
        <v>14</v>
      </c>
      <c r="G24" s="8" t="n">
        <v>0</v>
      </c>
      <c r="H24" s="8" t="n">
        <v>1</v>
      </c>
      <c r="I24" s="8" t="inlineStr">
        <is>
          <t>ROT</t>
        </is>
      </c>
      <c r="J24" s="8" t="inlineStr">
        <is>
          <t>ENEMY</t>
        </is>
      </c>
      <c r="K24" s="8" t="inlineStr">
        <is>
          <t>SINGLE</t>
        </is>
      </c>
      <c r="L24" s="8" t="n">
        <v>0</v>
      </c>
      <c r="M24" s="8" t="n">
        <v>0</v>
      </c>
      <c r="N24" s="8" t="n">
        <v>0</v>
      </c>
      <c r="O24" s="8" t="n">
        <v>0</v>
      </c>
      <c r="P24" s="8" t="n">
        <v>0</v>
      </c>
      <c r="Q24" s="8" t="n">
        <v>0</v>
      </c>
      <c r="R24" s="8" t="n">
        <v>0</v>
      </c>
      <c r="S24" s="8" t="n">
        <v>0</v>
      </c>
      <c r="T24" s="8" t="n">
        <v>1</v>
      </c>
      <c r="U24" s="8" t="n">
        <v>1</v>
      </c>
      <c r="V24" s="8" t="n">
        <v>3</v>
      </c>
      <c r="W24" s="8" t="inlineStr">
        <is>
          <t>Attack. Barely stings, and cracks the outermost {LAYER}.</t>
        </is>
      </c>
      <c r="X24" s="8" t="n">
        <v>0</v>
      </c>
      <c r="Y24" s="8" t="inlineStr"/>
      <c r="Z24" s="8" t="inlineStr"/>
      <c r="AA24" s="8" t="inlineStr"/>
      <c r="AB24" s="8" t="n">
        <v>0</v>
      </c>
      <c r="AC24" s="8" t="n">
        <v>0</v>
      </c>
      <c r="AD24" s="8" t="inlineStr"/>
      <c r="AE24" s="8" t="inlineStr"/>
      <c r="AF24" s="8" t="inlineStr"/>
      <c r="AG24" s="8" t="inlineStr">
        <is>
          <t>LOWEST_MS</t>
        </is>
      </c>
      <c r="AH24" s="8" t="inlineStr">
        <is>
          <t>COMMON</t>
        </is>
      </c>
      <c r="AI24" s="8" t="inlineStr"/>
      <c r="AJ24" s="8" t="n">
        <v>1</v>
      </c>
      <c r="AK24" s="8">
        <f>ROUND(G24*0.6 + N24*0.4 + P24*0.7 + Q24*8 + ABS(L24)*0.3, 0)</f>
        <v/>
      </c>
      <c r="AL24" s="8">
        <f>IFERROR(D24-AG24,"")</f>
        <v/>
      </c>
      <c r="AM24" s="8" t="inlineStr">
        <is>
          <t>A fifth of a Heated Punch. It exists so a Disgust unit has something to do with a slot it cannot afford a debuff for, not because anyone should fear it.</t>
        </is>
      </c>
    </row>
    <row r="25">
      <c r="A25" s="8" t="inlineStr">
        <is>
          <t>TAINT</t>
        </is>
      </c>
      <c r="B25" s="8" t="inlineStr">
        <is>
          <t>Spoilage</t>
        </is>
      </c>
      <c r="C25" s="8" t="inlineStr">
        <is>
          <t>DISGUST</t>
        </is>
      </c>
      <c r="D25" s="8" t="n">
        <v>18</v>
      </c>
      <c r="E25" s="8" t="inlineStr">
        <is>
          <t>DAMAGE</t>
        </is>
      </c>
      <c r="F25" s="8" t="n">
        <v>10</v>
      </c>
      <c r="G25" s="8" t="n">
        <v>0</v>
      </c>
      <c r="H25" s="8" t="n">
        <v>1</v>
      </c>
      <c r="I25" s="8" t="inlineStr">
        <is>
          <t>ROT</t>
        </is>
      </c>
      <c r="J25" s="8" t="inlineStr">
        <is>
          <t>ENEMY</t>
        </is>
      </c>
      <c r="K25" s="8" t="inlineStr">
        <is>
          <t>SINGLE</t>
        </is>
      </c>
      <c r="L25" s="8" t="n">
        <v>0</v>
      </c>
      <c r="M25" s="8" t="n">
        <v>0</v>
      </c>
      <c r="N25" s="8" t="n">
        <v>0</v>
      </c>
      <c r="O25" s="8" t="n">
        <v>0</v>
      </c>
      <c r="P25" s="8" t="n">
        <v>0</v>
      </c>
      <c r="Q25" s="8" t="n">
        <v>0</v>
      </c>
      <c r="R25" s="8" t="n">
        <v>0</v>
      </c>
      <c r="S25" s="8" t="n">
        <v>0</v>
      </c>
      <c r="T25" s="8" t="n">
        <v>1</v>
      </c>
      <c r="U25" s="8" t="n">
        <v>1</v>
      </c>
      <c r="V25" s="8" t="n">
        <v>3</v>
      </c>
      <c r="W25" s="8" t="inlineStr">
        <is>
          <t>Attack. Chips, and holds *1* broken {LAYER} down for a turn.</t>
        </is>
      </c>
      <c r="X25" s="8" t="n">
        <v>0</v>
      </c>
      <c r="Y25" s="8" t="inlineStr"/>
      <c r="Z25" s="8" t="inlineStr"/>
      <c r="AA25" s="8" t="inlineStr">
        <is>
          <t>NO_REGEN</t>
        </is>
      </c>
      <c r="AB25" s="8" t="n">
        <v>0</v>
      </c>
      <c r="AC25" s="8" t="n">
        <v>1</v>
      </c>
      <c r="AD25" s="8" t="inlineStr"/>
      <c r="AE25" s="8" t="inlineStr"/>
      <c r="AF25" s="8" t="inlineStr"/>
      <c r="AG25" s="8" t="inlineStr">
        <is>
          <t>LOWEST_MS</t>
        </is>
      </c>
      <c r="AH25" s="8" t="inlineStr">
        <is>
          <t>COMMON</t>
        </is>
      </c>
      <c r="AI25" s="8" t="inlineStr"/>
      <c r="AJ25" s="8" t="n">
        <v>1</v>
      </c>
      <c r="AK25" s="8">
        <f>ROUND(G25*0.6 + N25*0.4 + P25*0.7 + Q25*8 + ABS(L25)*0.3, 0)</f>
        <v/>
      </c>
      <c r="AL25" s="8">
        <f>IFERROR(D25-AG25,"")</f>
        <v/>
      </c>
      <c r="AM25" s="8" t="inlineStr">
        <is>
          <t>The second ability to both hit and hang a status (see DRUG_HIT). Ten damage is nothing; the point is that the layer it breaks does not come back this round.</t>
        </is>
      </c>
    </row>
    <row r="26">
      <c r="A26" s="8" t="inlineStr">
        <is>
          <t>SELF_RESPECT</t>
        </is>
      </c>
      <c r="B26" s="8" t="inlineStr">
        <is>
          <t>Self-Respect</t>
        </is>
      </c>
      <c r="C26" s="8" t="inlineStr">
        <is>
          <t>DISGUST</t>
        </is>
      </c>
      <c r="D26" s="8" t="n">
        <v>35</v>
      </c>
      <c r="E26" s="8" t="inlineStr">
        <is>
          <t>HEAL</t>
        </is>
      </c>
      <c r="F26" s="8" t="n">
        <v>45</v>
      </c>
      <c r="G26" s="8" t="n">
        <v>0</v>
      </c>
      <c r="H26" s="8" t="n">
        <v>0</v>
      </c>
      <c r="I26" s="8" t="inlineStr">
        <is>
          <t>SHIELD</t>
        </is>
      </c>
      <c r="J26" s="8" t="inlineStr">
        <is>
          <t>SELF</t>
        </is>
      </c>
      <c r="K26" s="8" t="inlineStr">
        <is>
          <t>SINGLE</t>
        </is>
      </c>
      <c r="L26" s="8" t="n">
        <v>0</v>
      </c>
      <c r="M26" s="8" t="n">
        <v>0</v>
      </c>
      <c r="N26" s="8" t="n">
        <v>0</v>
      </c>
      <c r="O26" s="8" t="n">
        <v>0</v>
      </c>
      <c r="P26" s="8" t="n">
        <v>0</v>
      </c>
      <c r="Q26" s="8" t="n">
        <v>0</v>
      </c>
      <c r="R26" s="8" t="n">
        <v>0</v>
      </c>
      <c r="S26" s="8" t="n">
        <v>0</v>
      </c>
      <c r="T26" s="8" t="n">
        <v>1</v>
      </c>
      <c r="U26" s="8" t="n">
        <v>3</v>
      </c>
      <c r="V26" s="8" t="n">
        <v>1</v>
      </c>
      <c r="W26" s="8" t="inlineStr">
        <is>
          <t>Restore. Takes back *45* {MS}. Once a fight.</t>
        </is>
      </c>
      <c r="X26" s="8" t="n">
        <v>0</v>
      </c>
      <c r="Y26" s="8" t="inlineStr"/>
      <c r="Z26" s="8" t="inlineStr"/>
      <c r="AA26" s="8" t="inlineStr"/>
      <c r="AB26" s="8" t="n">
        <v>0</v>
      </c>
      <c r="AC26" s="8" t="n">
        <v>0</v>
      </c>
      <c r="AD26" s="8" t="inlineStr"/>
      <c r="AE26" s="8" t="inlineStr"/>
      <c r="AF26" s="8" t="inlineStr"/>
      <c r="AG26" s="8" t="inlineStr">
        <is>
          <t>SELF</t>
        </is>
      </c>
      <c r="AH26" s="8" t="inlineStr">
        <is>
          <t>COMMON</t>
        </is>
      </c>
      <c r="AI26" s="8" t="inlineStr"/>
      <c r="AJ26" s="8" t="n">
        <v>1</v>
      </c>
      <c r="AK26" s="8">
        <f>ROUND(G26*0.6 + N26*0.4 + P26*0.7 + Q26*8 + ABS(L26)*0.3, 0)</f>
        <v/>
      </c>
      <c r="AL26" s="8">
        <f>IFERROR(D26-AG26,"")</f>
        <v/>
      </c>
      <c r="AM26" s="8" t="inlineStr">
        <is>
          <t>THE FIRST HEAL THE PLAYER HAS. Disgust is the right colour for it: the set is otherwise entirely about what you cannot stand in somebody else, and this is the same feeling turned around. One use and a three-turn cooldown, so it is a decision about WHEN rather than a tap you fall back on - 45 is most of a heavy hit, and spending it early because the bar looked low is the mistake it is designed to allow. `power` is the amount, as it is for every other kind; the sheet's `heal` column is still planned and using it would put this one ability's magnitude in a different cell from everybody else's.</t>
        </is>
      </c>
    </row>
    <row r="27">
      <c r="A27" s="8" t="inlineStr">
        <is>
          <t>NAUSEA</t>
        </is>
      </c>
      <c r="B27" s="8" t="inlineStr">
        <is>
          <t>Turn the Stomach</t>
        </is>
      </c>
      <c r="C27" s="8" t="inlineStr">
        <is>
          <t>DISGUST</t>
        </is>
      </c>
      <c r="D27" s="8" t="n">
        <v>30</v>
      </c>
      <c r="E27" s="8" t="inlineStr">
        <is>
          <t>DEBUFF</t>
        </is>
      </c>
      <c r="F27" s="8" t="n">
        <v>0</v>
      </c>
      <c r="G27" s="8" t="n">
        <v>0</v>
      </c>
      <c r="H27" s="8" t="n">
        <v>0</v>
      </c>
      <c r="I27" s="8" t="inlineStr">
        <is>
          <t>ROT</t>
        </is>
      </c>
      <c r="J27" s="8" t="inlineStr">
        <is>
          <t>ENEMY</t>
        </is>
      </c>
      <c r="K27" s="8" t="inlineStr">
        <is>
          <t>SINGLE</t>
        </is>
      </c>
      <c r="L27" s="8" t="n">
        <v>0</v>
      </c>
      <c r="M27" s="8" t="n">
        <v>0</v>
      </c>
      <c r="N27" s="8" t="n">
        <v>0</v>
      </c>
      <c r="O27" s="8" t="n">
        <v>0</v>
      </c>
      <c r="P27" s="8" t="n">
        <v>0</v>
      </c>
      <c r="Q27" s="8" t="n">
        <v>0</v>
      </c>
      <c r="R27" s="8" t="n">
        <v>0</v>
      </c>
      <c r="S27" s="8" t="n">
        <v>0</v>
      </c>
      <c r="T27" s="8" t="n">
        <v>1</v>
      </c>
      <c r="U27" s="8" t="n">
        <v>1</v>
      </c>
      <c r="V27" s="8" t="n">
        <v>2</v>
      </c>
      <c r="W27" s="8" t="inlineStr">
        <is>
          <t>Debuff. Target *misses* attacks AND turns one on *itself* for *2 turns*.</t>
        </is>
      </c>
      <c r="X27" s="8" t="n">
        <v>0</v>
      </c>
      <c r="Y27" s="8" t="inlineStr"/>
      <c r="Z27" s="8" t="inlineStr"/>
      <c r="AA27" s="8" t="inlineStr">
        <is>
          <t>NAUSEOUS</t>
        </is>
      </c>
      <c r="AB27" s="8" t="n">
        <v>0</v>
      </c>
      <c r="AC27" s="8" t="n">
        <v>2</v>
      </c>
      <c r="AD27" s="8" t="inlineStr"/>
      <c r="AE27" s="8" t="inlineStr"/>
      <c r="AF27" s="8" t="inlineStr"/>
      <c r="AG27" s="8" t="inlineStr">
        <is>
          <t>LOWEST_MS</t>
        </is>
      </c>
      <c r="AH27" s="8" t="inlineStr">
        <is>
          <t>COMMON</t>
        </is>
      </c>
      <c r="AI27" s="8" t="inlineStr"/>
      <c r="AJ27" s="8" t="n">
        <v>1</v>
      </c>
      <c r="AK27" s="8">
        <f>ROUND(G27*0.6 + N27*0.4 + P27*0.7 + Q27*8 + ABS(L27)*0.3, 0)</f>
        <v/>
      </c>
      <c r="AL27" s="8">
        <f>IFERROR(D27-AG27,"")</f>
        <v/>
      </c>
      <c r="AM27" s="8" t="inlineStr">
        <is>
          <t>The most expensive debuff in the game and worth it: two live levers at once, so it costs the target accuracy and stamina in the same breath.</t>
        </is>
      </c>
    </row>
    <row r="28">
      <c r="A28" s="8" t="inlineStr">
        <is>
          <t>SPOIL</t>
        </is>
      </c>
      <c r="B28" s="8" t="inlineStr">
        <is>
          <t>Let It Rot</t>
        </is>
      </c>
      <c r="C28" s="8" t="inlineStr">
        <is>
          <t>DISGUST</t>
        </is>
      </c>
      <c r="D28" s="8" t="n">
        <v>32</v>
      </c>
      <c r="E28" s="8" t="inlineStr">
        <is>
          <t>DEBUFF</t>
        </is>
      </c>
      <c r="F28" s="8" t="n">
        <v>0</v>
      </c>
      <c r="G28" s="8" t="n">
        <v>0</v>
      </c>
      <c r="H28" s="8" t="n">
        <v>0</v>
      </c>
      <c r="I28" s="8" t="inlineStr">
        <is>
          <t>ROT</t>
        </is>
      </c>
      <c r="J28" s="8" t="inlineStr">
        <is>
          <t>ENEMY</t>
        </is>
      </c>
      <c r="K28" s="8" t="inlineStr">
        <is>
          <t>SINGLE</t>
        </is>
      </c>
      <c r="L28" s="8" t="n">
        <v>0</v>
      </c>
      <c r="M28" s="8" t="n">
        <v>0</v>
      </c>
      <c r="N28" s="8" t="n">
        <v>0</v>
      </c>
      <c r="O28" s="8" t="n">
        <v>0</v>
      </c>
      <c r="P28" s="8" t="n">
        <v>0</v>
      </c>
      <c r="Q28" s="8" t="n">
        <v>0</v>
      </c>
      <c r="R28" s="8" t="n">
        <v>0</v>
      </c>
      <c r="S28" s="8" t="n">
        <v>0</v>
      </c>
      <c r="T28" s="8" t="n">
        <v>1</v>
      </c>
      <c r="U28" s="8" t="n">
        <v>1</v>
      </c>
      <c r="V28" s="8" t="n">
        <v>2</v>
      </c>
      <c r="W28" s="8" t="inlineStr">
        <is>
          <t>Debuff. *3* broken {LAYERS} stay broken, and nothing goes your way, for *3 turns*.</t>
        </is>
      </c>
      <c r="X28" s="8" t="n">
        <v>0</v>
      </c>
      <c r="Y28" s="8" t="inlineStr"/>
      <c r="Z28" s="8" t="inlineStr"/>
      <c r="AA28" s="8" t="inlineStr">
        <is>
          <t>SPOILED</t>
        </is>
      </c>
      <c r="AB28" s="8" t="n">
        <v>0</v>
      </c>
      <c r="AC28" s="8" t="n">
        <v>3</v>
      </c>
      <c r="AD28" s="8" t="inlineStr"/>
      <c r="AE28" s="8" t="inlineStr"/>
      <c r="AF28" s="8" t="inlineStr"/>
      <c r="AG28" s="8" t="inlineStr">
        <is>
          <t>LOWEST_MS</t>
        </is>
      </c>
      <c r="AH28" s="8" t="inlineStr">
        <is>
          <t>COMMON</t>
        </is>
      </c>
      <c r="AI28" s="8" t="inlineStr"/>
      <c r="AJ28" s="8" t="n">
        <v>1</v>
      </c>
      <c r="AK28" s="8">
        <f>ROUND(G28*0.6 + N28*0.4 + P28*0.7 + Q28*8 + ABS(L28)*0.3, 0)</f>
        <v/>
      </c>
      <c r="AL28" s="8">
        <f>IFERROR(D28-AG28,"")</f>
        <v/>
      </c>
      <c r="AM28" s="8" t="inlineStr">
        <is>
          <t>Longer than anything else and the only status that touches crit odds. It does no damage whatsoever - it simply makes the next three turns worse than they should be.</t>
        </is>
      </c>
    </row>
    <row r="29">
      <c r="A29" s="8" t="inlineStr">
        <is>
          <t>SELF_HARM</t>
        </is>
      </c>
      <c r="B29" s="8" t="inlineStr">
        <is>
          <t>Self Harm</t>
        </is>
      </c>
      <c r="C29" s="8" t="inlineStr"/>
      <c r="D29" s="8" t="n">
        <v>0</v>
      </c>
      <c r="E29" s="8" t="inlineStr">
        <is>
          <t>SELFHARM</t>
        </is>
      </c>
      <c r="F29" s="8" t="n">
        <v>25</v>
      </c>
      <c r="G29" s="8" t="n">
        <v>0</v>
      </c>
      <c r="H29" s="8" t="n">
        <v>0</v>
      </c>
      <c r="I29" s="8" t="inlineStr">
        <is>
          <t>WARN</t>
        </is>
      </c>
      <c r="J29" s="8" t="inlineStr">
        <is>
          <t>SELF</t>
        </is>
      </c>
      <c r="K29" s="8" t="inlineStr">
        <is>
          <t>SINGLE</t>
        </is>
      </c>
      <c r="L29" s="8" t="n">
        <v>0</v>
      </c>
      <c r="M29" s="8" t="n">
        <v>0</v>
      </c>
      <c r="N29" s="8" t="n">
        <v>0</v>
      </c>
      <c r="O29" s="8" t="n">
        <v>0</v>
      </c>
      <c r="P29" s="8" t="n">
        <v>0</v>
      </c>
      <c r="Q29" s="8" t="n">
        <v>0</v>
      </c>
      <c r="R29" s="8" t="n">
        <v>0</v>
      </c>
      <c r="S29" s="8" t="n">
        <v>0</v>
      </c>
      <c r="T29" s="8" t="n">
        <v>1</v>
      </c>
      <c r="U29" s="8" t="n">
        <v>0</v>
      </c>
      <c r="V29" s="8" t="n">
        <v>0</v>
      </c>
      <c r="W29" s="8" t="inlineStr">
        <is>
          <t>Status. Forced by {OVERLOAD}; costs you {MS}.</t>
        </is>
      </c>
      <c r="X29" s="8" t="n">
        <v>0</v>
      </c>
      <c r="Y29" s="8" t="inlineStr"/>
      <c r="Z29" s="8" t="inlineStr"/>
      <c r="AA29" s="8" t="inlineStr"/>
      <c r="AB29" s="8" t="n">
        <v>0</v>
      </c>
      <c r="AC29" s="8" t="n">
        <v>0</v>
      </c>
      <c r="AD29" s="8" t="inlineStr"/>
      <c r="AE29" s="8" t="inlineStr"/>
      <c r="AF29" s="8" t="inlineStr"/>
      <c r="AG29" s="8" t="inlineStr">
        <is>
          <t>SELF</t>
        </is>
      </c>
      <c r="AH29" s="8" t="inlineStr">
        <is>
          <t>OVERLOAD</t>
        </is>
      </c>
      <c r="AI29" s="8" t="inlineStr"/>
      <c r="AJ29" s="8" t="n">
        <v>1</v>
      </c>
      <c r="AK29" s="8">
        <f>ROUND(G29*0.6 + N29*0.4 + P29*0.7 + Q29*8 + ABS(L29)*0.3, 0)</f>
        <v/>
      </c>
      <c r="AL29" s="8">
        <f>IFERROR(D29-AG29,"")</f>
        <v/>
      </c>
      <c r="AM29" s="8" t="inlineStr">
        <is>
          <t>OVERLOAD ONLY. Forced into your line when Charge passes your ceiling. Cannot be moved or removed.</t>
        </is>
      </c>
    </row>
    <row r="30">
      <c r="A30" s="8" t="inlineStr">
        <is>
          <t>FEED</t>
        </is>
      </c>
      <c r="B30" s="8" t="inlineStr">
        <is>
          <t>Feed</t>
        </is>
      </c>
      <c r="C30" s="8" t="inlineStr"/>
      <c r="D30" s="8" t="n">
        <v>0</v>
      </c>
      <c r="E30" s="8" t="inlineStr">
        <is>
          <t>FEED</t>
        </is>
      </c>
      <c r="F30" s="8" t="n">
        <v>30</v>
      </c>
      <c r="G30" s="8" t="n">
        <v>0</v>
      </c>
      <c r="H30" s="8" t="n">
        <v>0</v>
      </c>
      <c r="I30" s="8" t="inlineStr">
        <is>
          <t>DROP</t>
        </is>
      </c>
      <c r="J30" s="8" t="inlineStr">
        <is>
          <t>ENEMY</t>
        </is>
      </c>
      <c r="K30" s="8" t="inlineStr">
        <is>
          <t>SINGLE</t>
        </is>
      </c>
      <c r="L30" s="8" t="n">
        <v>0</v>
      </c>
      <c r="M30" s="8" t="n">
        <v>0</v>
      </c>
      <c r="N30" s="8" t="n">
        <v>0</v>
      </c>
      <c r="O30" s="8" t="n">
        <v>0</v>
      </c>
      <c r="P30" s="8" t="n">
        <v>0</v>
      </c>
      <c r="Q30" s="8" t="n">
        <v>0</v>
      </c>
      <c r="R30" s="8" t="n">
        <v>0</v>
      </c>
      <c r="S30" s="8" t="n">
        <v>0</v>
      </c>
      <c r="T30" s="8" t="n">
        <v>1</v>
      </c>
      <c r="U30" s="8" t="n">
        <v>0</v>
      </c>
      <c r="V30" s="8" t="n">
        <v>0</v>
      </c>
      <c r="W30" s="8" t="inlineStr">
        <is>
          <t>Status. Forced by {OVERLOAD}; *heals* your opponent.</t>
        </is>
      </c>
      <c r="X30" s="8" t="n">
        <v>0</v>
      </c>
      <c r="Y30" s="8" t="inlineStr"/>
      <c r="Z30" s="8" t="inlineStr"/>
      <c r="AA30" s="8" t="inlineStr"/>
      <c r="AB30" s="8" t="n">
        <v>0</v>
      </c>
      <c r="AC30" s="8" t="n">
        <v>0</v>
      </c>
      <c r="AD30" s="8" t="inlineStr"/>
      <c r="AE30" s="8" t="inlineStr"/>
      <c r="AF30" s="8" t="inlineStr"/>
      <c r="AG30" s="8" t="inlineStr">
        <is>
          <t>AS_WRITTEN</t>
        </is>
      </c>
      <c r="AH30" s="8" t="inlineStr">
        <is>
          <t>OVERLOAD</t>
        </is>
      </c>
      <c r="AI30" s="8" t="inlineStr"/>
      <c r="AJ30" s="8" t="n">
        <v>1</v>
      </c>
      <c r="AK30" s="8">
        <f>ROUND(G30*0.6 + N30*0.4 + P30*0.7 + Q30*8 + ABS(L30)*0.3, 0)</f>
        <v/>
      </c>
      <c r="AL30" s="8">
        <f>IFERROR(D30-AG30,"")</f>
        <v/>
      </c>
      <c r="AM30" s="8" t="inlineStr">
        <is>
          <t>OVERLOAD ONLY. Heals your opponent. Cannot be moved or removed.</t>
        </is>
      </c>
    </row>
  </sheetData>
  <mergeCells count="1">
    <mergeCell ref="A1:A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2" customWidth="1" min="10" max="10"/>
    <col width="11" customWidth="1" min="11" max="11"/>
    <col width="13" customWidth="1" min="12" max="12"/>
    <col width="12" customWidth="1" min="13" max="13"/>
    <col width="40" customWidth="1" min="14" max="14"/>
  </cols>
  <sheetData>
    <row r="1">
      <c r="A1" s="4" t="inlineStr">
        <is>
          <t>One Loadout per emotion; the player carries `equippedSlots` of them into a battle (units.loadouts). A Loadout may hold any ability whose emotion set includes its own emotion — see abilities.emotions for hybrids. Blank slots render as empty.</t>
        </is>
      </c>
    </row>
    <row r="3">
      <c r="A3" s="5" t="inlineStr">
        <is>
          <t>id</t>
        </is>
      </c>
      <c r="B3" s="5" t="inlineStr">
        <is>
          <t>emotion</t>
        </is>
      </c>
      <c r="C3" s="5" t="inlineStr">
        <is>
          <t>name</t>
        </is>
      </c>
      <c r="D3" s="5" t="inlineStr">
        <is>
          <t>slot1</t>
        </is>
      </c>
      <c r="E3" s="5" t="inlineStr">
        <is>
          <t>slot2</t>
        </is>
      </c>
      <c r="F3" s="5" t="inlineStr">
        <is>
          <t>slot3</t>
        </is>
      </c>
      <c r="G3" s="5" t="inlineStr">
        <is>
          <t>slot4</t>
        </is>
      </c>
      <c r="H3" s="5" t="inlineStr">
        <is>
          <t>tier</t>
        </is>
      </c>
      <c r="I3" s="5" t="inlineStr">
        <is>
          <t>ec_mod</t>
        </is>
      </c>
      <c r="J3" s="5" t="inlineStr">
        <is>
          <t>passive</t>
        </is>
      </c>
      <c r="K3" s="5" t="inlineStr">
        <is>
          <t>cost</t>
        </is>
      </c>
      <c r="L3" s="5" t="inlineStr">
        <is>
          <t>trade_in</t>
        </is>
      </c>
      <c r="M3" s="5" t="inlineStr">
        <is>
          <t>enabled</t>
        </is>
      </c>
      <c r="N3" s="5" t="inlineStr">
        <is>
          <t>notes</t>
        </is>
      </c>
    </row>
    <row r="4">
      <c r="A4" s="6" t="inlineStr">
        <is>
          <t>LIVE</t>
        </is>
      </c>
      <c r="B4" s="6" t="inlineStr">
        <is>
          <t>LIVE</t>
        </is>
      </c>
      <c r="C4" s="6" t="inlineStr">
        <is>
          <t>LIVE</t>
        </is>
      </c>
      <c r="D4" s="6" t="inlineStr">
        <is>
          <t>LIVE</t>
        </is>
      </c>
      <c r="E4" s="6" t="inlineStr">
        <is>
          <t>LIVE</t>
        </is>
      </c>
      <c r="F4" s="6" t="inlineStr">
        <is>
          <t>LIVE</t>
        </is>
      </c>
      <c r="G4" s="6" t="inlineStr">
        <is>
          <t>LIVE</t>
        </is>
      </c>
      <c r="H4" s="6" t="inlineStr">
        <is>
          <t>LIVE</t>
        </is>
      </c>
      <c r="I4" s="6" t="inlineStr">
        <is>
          <t>LIVE</t>
        </is>
      </c>
      <c r="J4" s="6" t="inlineStr">
        <is>
          <t>LIVE</t>
        </is>
      </c>
      <c r="K4" s="6" t="inlineStr">
        <is>
          <t>LIVE</t>
        </is>
      </c>
      <c r="L4" s="6" t="inlineStr">
        <is>
          <t>LIVE</t>
        </is>
      </c>
      <c r="M4" s="6" t="inlineStr">
        <is>
          <t>LIVE</t>
        </is>
      </c>
      <c r="N4" s="7" t="inlineStr">
        <is>
          <t>planned</t>
        </is>
      </c>
    </row>
    <row r="5">
      <c r="A5" s="8" t="inlineStr">
        <is>
          <t>LO_ANGER</t>
        </is>
      </c>
      <c r="B5" s="8" t="inlineStr">
        <is>
          <t>ANGER</t>
        </is>
      </c>
      <c r="C5" s="8" t="inlineStr">
        <is>
          <t>Anger</t>
        </is>
      </c>
      <c r="D5" s="8" t="inlineStr">
        <is>
          <t>ATK_ANGER</t>
        </is>
      </c>
      <c r="E5" s="8" t="inlineStr">
        <is>
          <t>HVY_ANGER</t>
        </is>
      </c>
      <c r="F5" s="8" t="inlineStr">
        <is>
          <t>GEN_ANGER</t>
        </is>
      </c>
      <c r="G5" s="8" t="inlineStr"/>
      <c r="H5" s="8" t="n">
        <v>1</v>
      </c>
      <c r="I5" s="8" t="n">
        <v>0</v>
      </c>
      <c r="J5" s="8" t="inlineStr"/>
      <c r="K5" s="8" t="inlineStr"/>
      <c r="L5" s="8" t="inlineStr"/>
      <c r="M5" s="8" t="n">
        <v>1</v>
      </c>
      <c r="N5" s="8" t="inlineStr"/>
    </row>
    <row r="6">
      <c r="A6" s="8" t="inlineStr">
        <is>
          <t>LO_SADNESS</t>
        </is>
      </c>
      <c r="B6" s="8" t="inlineStr">
        <is>
          <t>SADNESS</t>
        </is>
      </c>
      <c r="C6" s="8" t="inlineStr">
        <is>
          <t>Sadness</t>
        </is>
      </c>
      <c r="D6" s="8" t="inlineStr">
        <is>
          <t>ATK_SADNESS</t>
        </is>
      </c>
      <c r="E6" s="8" t="inlineStr">
        <is>
          <t>HVY_SADNESS</t>
        </is>
      </c>
      <c r="F6" s="8" t="inlineStr">
        <is>
          <t>INFLICT_SAD</t>
        </is>
      </c>
      <c r="G6" s="8" t="inlineStr"/>
      <c r="H6" s="8" t="n">
        <v>1</v>
      </c>
      <c r="I6" s="8" t="n">
        <v>0</v>
      </c>
      <c r="J6" s="8" t="inlineStr"/>
      <c r="K6" s="8" t="inlineStr"/>
      <c r="L6" s="8" t="inlineStr"/>
      <c r="M6" s="8" t="n">
        <v>1</v>
      </c>
      <c r="N6" s="8" t="inlineStr"/>
    </row>
    <row r="7">
      <c r="A7" s="8" t="inlineStr">
        <is>
          <t>LO_JOY</t>
        </is>
      </c>
      <c r="B7" s="8" t="inlineStr">
        <is>
          <t>JOY</t>
        </is>
      </c>
      <c r="C7" s="8" t="inlineStr">
        <is>
          <t>Joy</t>
        </is>
      </c>
      <c r="D7" s="8" t="inlineStr">
        <is>
          <t>ATK_JOY</t>
        </is>
      </c>
      <c r="E7" s="8" t="inlineStr">
        <is>
          <t>HVY_JOY</t>
        </is>
      </c>
      <c r="F7" s="8" t="inlineStr">
        <is>
          <t>GEN_JOY</t>
        </is>
      </c>
      <c r="G7" s="8" t="inlineStr"/>
      <c r="H7" s="8" t="n">
        <v>1</v>
      </c>
      <c r="I7" s="8" t="n">
        <v>0</v>
      </c>
      <c r="J7" s="8" t="inlineStr"/>
      <c r="K7" s="8" t="inlineStr"/>
      <c r="L7" s="8" t="inlineStr"/>
      <c r="M7" s="8" t="n">
        <v>1</v>
      </c>
      <c r="N7" s="8" t="inlineStr"/>
    </row>
    <row r="8">
      <c r="A8" s="8" t="inlineStr">
        <is>
          <t>LO_DISGUST</t>
        </is>
      </c>
      <c r="B8" s="8" t="inlineStr">
        <is>
          <t>DISGUST</t>
        </is>
      </c>
      <c r="C8" s="8" t="inlineStr">
        <is>
          <t>Disgust</t>
        </is>
      </c>
      <c r="D8" s="8" t="inlineStr">
        <is>
          <t>GEN_DISGUST</t>
        </is>
      </c>
      <c r="E8" s="8" t="inlineStr">
        <is>
          <t>ROT</t>
        </is>
      </c>
      <c r="F8" s="8" t="inlineStr">
        <is>
          <t>SELF_RESPECT</t>
        </is>
      </c>
      <c r="G8" s="8" t="inlineStr"/>
      <c r="H8" s="8" t="n">
        <v>1</v>
      </c>
      <c r="I8" s="8" t="n">
        <v>0</v>
      </c>
      <c r="J8" s="8" t="inlineStr"/>
      <c r="K8" s="8" t="inlineStr"/>
      <c r="L8" s="8" t="inlineStr"/>
      <c r="M8" s="8" t="n">
        <v>1</v>
      </c>
      <c r="N8" s="8" t="inlineStr">
        <is>
          <t>Grow a layer, rot theirs, and pick yourself back up. The only set carrying a heal, which is most of the reason to take it.</t>
        </is>
      </c>
    </row>
    <row r="9">
      <c r="A9" s="8" t="inlineStr">
        <is>
          <t>LO_SURPRISE</t>
        </is>
      </c>
      <c r="B9" s="8" t="inlineStr">
        <is>
          <t>SURPRISE</t>
        </is>
      </c>
      <c r="C9" s="8" t="inlineStr">
        <is>
          <t>Jolt</t>
        </is>
      </c>
      <c r="D9" s="8" t="inlineStr">
        <is>
          <t>MID_SURPRISE</t>
        </is>
      </c>
      <c r="E9" s="8" t="inlineStr"/>
      <c r="F9" s="8" t="inlineStr"/>
      <c r="G9" s="8" t="inlineStr"/>
      <c r="H9" s="8" t="n">
        <v>1</v>
      </c>
      <c r="I9" s="8" t="n">
        <v>0</v>
      </c>
      <c r="J9" s="8" t="inlineStr">
        <is>
          <t>PAS_JOLT</t>
        </is>
      </c>
      <c r="K9" s="8" t="inlineStr"/>
      <c r="L9" s="8" t="inlineStr"/>
      <c r="M9" s="8" t="n">
        <v>1</v>
      </c>
      <c r="N9" s="8" t="inlineStr">
        <is>
          <t>One attack and one passive, deliberately. Surprise is not about volume of swings - it is about what happens when one goes wrong, which is what PAS_JOLT turns into charge.</t>
        </is>
      </c>
    </row>
    <row r="10">
      <c r="A10" s="8" t="inlineStr">
        <is>
          <t>LO_RUSH</t>
        </is>
      </c>
      <c r="B10" s="8" t="inlineStr">
        <is>
          <t>SURPRISE</t>
        </is>
      </c>
      <c r="C10" s="8" t="inlineStr">
        <is>
          <t>Rush</t>
        </is>
      </c>
      <c r="D10" s="8" t="inlineStr">
        <is>
          <t>DRUG_HIT</t>
        </is>
      </c>
      <c r="E10" s="8" t="inlineStr"/>
      <c r="F10" s="8" t="inlineStr"/>
      <c r="G10" s="8" t="inlineStr"/>
      <c r="H10" s="8" t="n">
        <v>3</v>
      </c>
      <c r="I10" s="8" t="n">
        <v>0</v>
      </c>
      <c r="J10" s="8" t="inlineStr">
        <is>
          <t>PAS_RUSH</t>
        </is>
      </c>
      <c r="K10" s="8" t="inlineStr"/>
      <c r="L10" s="8" t="inlineStr"/>
      <c r="M10" s="8" t="n">
        <v>1</v>
      </c>
      <c r="N10" s="8" t="inlineStr">
        <is>
          <t>Sant Antoni's reward. Its passive turns every critical into rushCritSlots extra slots instead of critSlots - three instead of one - so a set that offers one attack is really offering a bigger line whenever a hit goes well.</t>
        </is>
      </c>
    </row>
    <row r="11">
      <c r="A11" s="8" t="inlineStr">
        <is>
          <t>LO_FEAR</t>
        </is>
      </c>
      <c r="B11" s="8" t="inlineStr">
        <is>
          <t>FEAR</t>
        </is>
      </c>
      <c r="C11" s="8" t="inlineStr">
        <is>
          <t>Fear</t>
        </is>
      </c>
      <c r="D11" s="8" t="inlineStr"/>
      <c r="E11" s="8" t="inlineStr"/>
      <c r="F11" s="8" t="inlineStr"/>
      <c r="G11" s="8" t="inlineStr"/>
      <c r="H11" s="8" t="n">
        <v>1</v>
      </c>
      <c r="I11" s="8" t="n">
        <v>0</v>
      </c>
      <c r="J11" s="8" t="inlineStr"/>
      <c r="K11" s="8" t="inlineStr"/>
      <c r="L11" s="8" t="inlineStr"/>
      <c r="M11" s="8" t="n">
        <v>1</v>
      </c>
      <c r="N11" s="8" t="inlineStr">
        <is>
          <t>No Fear abilities exist yet.</t>
        </is>
      </c>
    </row>
  </sheetData>
  <mergeCells count="1">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9" customWidth="1" min="1" max="1"/>
    <col width="18" customWidth="1" min="2" max="2"/>
    <col width="13" customWidth="1" min="3" max="3"/>
    <col width="13" customWidth="1" min="4" max="4"/>
    <col width="12" customWidth="1" min="5" max="5"/>
    <col width="16" customWidth="1" min="6" max="6"/>
    <col width="14" customWidth="1" min="7" max="7"/>
    <col width="11" customWidth="1" min="8" max="8"/>
    <col width="18" customWidth="1" min="9" max="9"/>
    <col width="12" customWidth="1" min="10" max="10"/>
    <col width="17" customWidth="1" min="11" max="11"/>
    <col width="12" customWidth="1" min="12" max="12"/>
    <col width="52" customWidth="1" min="13" max="13"/>
  </cols>
  <sheetData>
    <row r="1">
      <c r="A1" s="4" t="inlineStr">
        <is>
          <t>THE SYNERGY TABLE — the main lever for designing interactions. One row per attack-emotion x layer-emotion pair. '*' is a wildcard; 'NONE' in layer_emotion means the target has no layers. When several rows match, the HIGHEST priority wins, so specific rows beat wildcards. Add a row like  JOY | SADNESS | 20 | 2.0 | 0 | CATHARSIS  and that pairing immediately behaves differently — no code change.</t>
        </is>
      </c>
    </row>
    <row r="3">
      <c r="A3" s="5" t="inlineStr">
        <is>
          <t>attack_emotion</t>
        </is>
      </c>
      <c r="B3" s="5" t="inlineStr">
        <is>
          <t>layer_emotion</t>
        </is>
      </c>
      <c r="C3" s="5" t="inlineStr">
        <is>
          <t>priority</t>
        </is>
      </c>
      <c r="D3" s="5" t="inlineStr">
        <is>
          <t>dmg_mult</t>
        </is>
      </c>
      <c r="E3" s="5" t="inlineStr">
        <is>
          <t>ec_mult</t>
        </is>
      </c>
      <c r="F3" s="5" t="inlineStr">
        <is>
          <t>label</t>
        </is>
      </c>
      <c r="G3" s="5" t="inlineStr">
        <is>
          <t>tag_class</t>
        </is>
      </c>
      <c r="H3" s="5" t="inlineStr">
        <is>
          <t>sound</t>
        </is>
      </c>
      <c r="I3" s="5" t="inlineStr">
        <is>
          <t>rotates_layer</t>
        </is>
      </c>
      <c r="J3" s="5" t="inlineStr">
        <is>
          <t>self_ec</t>
        </is>
      </c>
      <c r="K3" s="5" t="inlineStr">
        <is>
          <t>status_apply</t>
        </is>
      </c>
      <c r="L3" s="5" t="inlineStr">
        <is>
          <t>enabled</t>
        </is>
      </c>
      <c r="M3" s="5" t="inlineStr">
        <is>
          <t>notes</t>
        </is>
      </c>
    </row>
    <row r="4">
      <c r="A4" s="6" t="inlineStr">
        <is>
          <t>LIVE</t>
        </is>
      </c>
      <c r="B4" s="6" t="inlineStr">
        <is>
          <t>LIVE</t>
        </is>
      </c>
      <c r="C4" s="6" t="inlineStr">
        <is>
          <t>LIVE</t>
        </is>
      </c>
      <c r="D4" s="6" t="inlineStr">
        <is>
          <t>LIVE</t>
        </is>
      </c>
      <c r="E4" s="6" t="inlineStr">
        <is>
          <t>LIVE</t>
        </is>
      </c>
      <c r="F4" s="6" t="inlineStr">
        <is>
          <t>LIVE</t>
        </is>
      </c>
      <c r="G4" s="6" t="inlineStr">
        <is>
          <t>LIVE</t>
        </is>
      </c>
      <c r="H4" s="7" t="inlineStr">
        <is>
          <t>planned</t>
        </is>
      </c>
      <c r="I4" s="7" t="inlineStr">
        <is>
          <t>planned</t>
        </is>
      </c>
      <c r="J4" s="7" t="inlineStr">
        <is>
          <t>planned</t>
        </is>
      </c>
      <c r="K4" s="7" t="inlineStr">
        <is>
          <t>planned</t>
        </is>
      </c>
      <c r="L4" s="7" t="inlineStr">
        <is>
          <t>planned</t>
        </is>
      </c>
      <c r="M4" s="7" t="inlineStr">
        <is>
          <t>planned</t>
        </is>
      </c>
    </row>
    <row r="5">
      <c r="A5" s="8" t="inlineStr">
        <is>
          <t>*</t>
        </is>
      </c>
      <c r="B5" s="8" t="inlineStr">
        <is>
          <t>*</t>
        </is>
      </c>
      <c r="C5" s="8" t="n">
        <v>0</v>
      </c>
      <c r="D5" s="8" t="n">
        <v>1</v>
      </c>
      <c r="E5" s="8" t="n">
        <v>0</v>
      </c>
      <c r="F5" s="8" t="inlineStr">
        <is>
          <t>OFF TYPE</t>
        </is>
      </c>
      <c r="G5" s="8" t="inlineStr">
        <is>
          <t>off</t>
        </is>
      </c>
      <c r="H5" s="8" t="inlineStr">
        <is>
          <t>hit</t>
        </is>
      </c>
      <c r="I5" s="8" t="inlineStr"/>
      <c r="J5" s="8" t="n">
        <v>0</v>
      </c>
      <c r="K5" s="8" t="inlineStr"/>
      <c r="L5" s="8" t="n">
        <v>1</v>
      </c>
      <c r="M5" s="8" t="inlineStr">
        <is>
          <t>Fallback. Every pair you do not name lands here.</t>
        </is>
      </c>
    </row>
    <row r="6">
      <c r="A6" s="8" t="inlineStr">
        <is>
          <t>*</t>
        </is>
      </c>
      <c r="B6" s="8" t="inlineStr">
        <is>
          <t>NONE</t>
        </is>
      </c>
      <c r="C6" s="8" t="n">
        <v>5</v>
      </c>
      <c r="D6" s="8" t="n">
        <v>2</v>
      </c>
      <c r="E6" s="8" t="n">
        <v>0</v>
      </c>
      <c r="F6" s="8" t="inlineStr">
        <is>
          <t>EXPOSED!</t>
        </is>
      </c>
      <c r="G6" s="8" t="inlineStr">
        <is>
          <t>dmg</t>
        </is>
      </c>
      <c r="H6" s="8" t="inlineStr">
        <is>
          <t>hit</t>
        </is>
      </c>
      <c r="I6" s="8" t="inlineStr"/>
      <c r="J6" s="8" t="n">
        <v>0</v>
      </c>
      <c r="K6" s="8" t="inlineStr"/>
      <c r="L6" s="8" t="n">
        <v>1</v>
      </c>
      <c r="M6" s="8" t="inlineStr">
        <is>
          <t>No layers left: double damage, no charge.</t>
        </is>
      </c>
    </row>
    <row r="7">
      <c r="A7" s="8" t="inlineStr">
        <is>
          <t>ANGER</t>
        </is>
      </c>
      <c r="B7" s="8" t="inlineStr">
        <is>
          <t>ANGER</t>
        </is>
      </c>
      <c r="C7" s="8" t="n">
        <v>10</v>
      </c>
      <c r="D7" s="8" t="n">
        <v>0.5</v>
      </c>
      <c r="E7" s="8" t="n">
        <v>1</v>
      </c>
      <c r="F7" s="8" t="inlineStr">
        <is>
          <t>ABSORBED!</t>
        </is>
      </c>
      <c r="G7" s="8" t="inlineStr">
        <is>
          <t>absorb</t>
        </is>
      </c>
      <c r="H7" s="8" t="inlineStr">
        <is>
          <t>absorb</t>
        </is>
      </c>
      <c r="I7" s="8" t="inlineStr"/>
      <c r="J7" s="8" t="n">
        <v>0</v>
      </c>
      <c r="K7" s="8" t="inlineStr"/>
      <c r="L7" s="8" t="n">
        <v>1</v>
      </c>
      <c r="M7" s="8" t="inlineStr">
        <is>
          <t>Same emotion: the layer drinks it.</t>
        </is>
      </c>
    </row>
    <row r="8">
      <c r="A8" s="8" t="inlineStr">
        <is>
          <t>SURPRISE</t>
        </is>
      </c>
      <c r="B8" s="8" t="inlineStr">
        <is>
          <t>SURPRISE</t>
        </is>
      </c>
      <c r="C8" s="8" t="n">
        <v>10</v>
      </c>
      <c r="D8" s="8" t="n">
        <v>0.5</v>
      </c>
      <c r="E8" s="8" t="n">
        <v>1</v>
      </c>
      <c r="F8" s="8" t="inlineStr">
        <is>
          <t>ABSORBED!</t>
        </is>
      </c>
      <c r="G8" s="8" t="inlineStr">
        <is>
          <t>absorb</t>
        </is>
      </c>
      <c r="H8" s="8" t="inlineStr">
        <is>
          <t>absorb</t>
        </is>
      </c>
      <c r="I8" s="8" t="inlineStr"/>
      <c r="J8" s="8" t="n">
        <v>0</v>
      </c>
      <c r="K8" s="8" t="inlineStr"/>
      <c r="L8" s="8" t="n">
        <v>1</v>
      </c>
      <c r="M8" s="8" t="inlineStr">
        <is>
          <t>Same emotion: the layer drinks it.</t>
        </is>
      </c>
    </row>
    <row r="9">
      <c r="A9" s="8" t="inlineStr">
        <is>
          <t>DISGUST</t>
        </is>
      </c>
      <c r="B9" s="8" t="inlineStr">
        <is>
          <t>DISGUST</t>
        </is>
      </c>
      <c r="C9" s="8" t="n">
        <v>10</v>
      </c>
      <c r="D9" s="8" t="n">
        <v>0.5</v>
      </c>
      <c r="E9" s="8" t="n">
        <v>1</v>
      </c>
      <c r="F9" s="8" t="inlineStr">
        <is>
          <t>ABSORBED!</t>
        </is>
      </c>
      <c r="G9" s="8" t="inlineStr">
        <is>
          <t>absorb</t>
        </is>
      </c>
      <c r="H9" s="8" t="inlineStr">
        <is>
          <t>absorb</t>
        </is>
      </c>
      <c r="I9" s="8" t="inlineStr"/>
      <c r="J9" s="8" t="n">
        <v>0</v>
      </c>
      <c r="K9" s="8" t="inlineStr"/>
      <c r="L9" s="8" t="n">
        <v>1</v>
      </c>
      <c r="M9" s="8" t="inlineStr">
        <is>
          <t>Same emotion: the layer drinks it.</t>
        </is>
      </c>
    </row>
    <row r="10">
      <c r="A10" s="8" t="inlineStr">
        <is>
          <t>JOY</t>
        </is>
      </c>
      <c r="B10" s="8" t="inlineStr">
        <is>
          <t>JOY</t>
        </is>
      </c>
      <c r="C10" s="8" t="n">
        <v>10</v>
      </c>
      <c r="D10" s="8" t="n">
        <v>0.5</v>
      </c>
      <c r="E10" s="8" t="n">
        <v>1</v>
      </c>
      <c r="F10" s="8" t="inlineStr">
        <is>
          <t>ABSORBED!</t>
        </is>
      </c>
      <c r="G10" s="8" t="inlineStr">
        <is>
          <t>absorb</t>
        </is>
      </c>
      <c r="H10" s="8" t="inlineStr">
        <is>
          <t>absorb</t>
        </is>
      </c>
      <c r="I10" s="8" t="inlineStr"/>
      <c r="J10" s="8" t="n">
        <v>0</v>
      </c>
      <c r="K10" s="8" t="inlineStr"/>
      <c r="L10" s="8" t="n">
        <v>1</v>
      </c>
      <c r="M10" s="8" t="inlineStr">
        <is>
          <t>Same emotion: the layer drinks it.</t>
        </is>
      </c>
    </row>
    <row r="11">
      <c r="A11" s="8" t="inlineStr">
        <is>
          <t>SADNESS</t>
        </is>
      </c>
      <c r="B11" s="8" t="inlineStr">
        <is>
          <t>SADNESS</t>
        </is>
      </c>
      <c r="C11" s="8" t="n">
        <v>10</v>
      </c>
      <c r="D11" s="8" t="n">
        <v>0.5</v>
      </c>
      <c r="E11" s="8" t="n">
        <v>1</v>
      </c>
      <c r="F11" s="8" t="inlineStr">
        <is>
          <t>ABSORBED!</t>
        </is>
      </c>
      <c r="G11" s="8" t="inlineStr">
        <is>
          <t>absorb</t>
        </is>
      </c>
      <c r="H11" s="8" t="inlineStr">
        <is>
          <t>absorb</t>
        </is>
      </c>
      <c r="I11" s="8" t="inlineStr"/>
      <c r="J11" s="8" t="n">
        <v>0</v>
      </c>
      <c r="K11" s="8" t="inlineStr"/>
      <c r="L11" s="8" t="n">
        <v>1</v>
      </c>
      <c r="M11" s="8" t="inlineStr">
        <is>
          <t>Same emotion: the layer drinks it.</t>
        </is>
      </c>
    </row>
    <row r="12">
      <c r="A12" s="8" t="inlineStr">
        <is>
          <t>FEAR</t>
        </is>
      </c>
      <c r="B12" s="8" t="inlineStr">
        <is>
          <t>FEAR</t>
        </is>
      </c>
      <c r="C12" s="8" t="n">
        <v>10</v>
      </c>
      <c r="D12" s="8" t="n">
        <v>0.5</v>
      </c>
      <c r="E12" s="8" t="n">
        <v>1</v>
      </c>
      <c r="F12" s="8" t="inlineStr">
        <is>
          <t>ABSORBED!</t>
        </is>
      </c>
      <c r="G12" s="8" t="inlineStr">
        <is>
          <t>absorb</t>
        </is>
      </c>
      <c r="H12" s="8" t="inlineStr">
        <is>
          <t>absorb</t>
        </is>
      </c>
      <c r="I12" s="8" t="inlineStr"/>
      <c r="J12" s="8" t="n">
        <v>0</v>
      </c>
      <c r="K12" s="8" t="inlineStr"/>
      <c r="L12" s="8" t="n">
        <v>1</v>
      </c>
      <c r="M12" s="8" t="inlineStr">
        <is>
          <t>Same emotion: the layer drinks it.</t>
        </is>
      </c>
    </row>
  </sheetData>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2" customWidth="1" min="3" max="3"/>
    <col width="11" customWidth="1" min="4" max="4"/>
    <col width="11" customWidth="1" min="5" max="5"/>
    <col width="17" customWidth="1" min="6" max="6"/>
    <col width="26" customWidth="1" min="7" max="7"/>
    <col width="40" customWidth="1" min="8" max="8"/>
    <col width="13" customWidth="1" min="9" max="9"/>
    <col width="13" customWidth="1" min="10" max="10"/>
    <col width="20" customWidth="1" min="11" max="11"/>
    <col width="13" customWidth="1" min="12" max="12"/>
    <col width="20" customWidth="1" min="13" max="13"/>
    <col width="11" customWidth="1" min="14" max="14"/>
    <col width="18" customWidth="1" min="15" max="15"/>
    <col width="16" customWidth="1" min="16" max="16"/>
    <col width="11" customWidth="1" min="17" max="17"/>
    <col width="14" customWidth="1" min="18" max="18"/>
    <col width="11" customWidth="1" min="19" max="19"/>
    <col width="26" customWidth="1" min="20" max="20"/>
    <col width="26" customWidth="1" min="21" max="21"/>
    <col width="26" customWidth="1" min="22" max="22"/>
    <col width="15" customWidth="1" min="23" max="23"/>
    <col width="11" customWidth="1" min="24" max="24"/>
    <col width="17" customWidth="1" min="25" max="25"/>
    <col width="24" customWidth="1" min="26" max="26"/>
    <col width="11" customWidth="1" min="27" max="27"/>
    <col width="12" customWidth="1" min="28" max="28"/>
    <col width="42" customWidth="1" min="29" max="29"/>
  </cols>
  <sheetData>
    <row r="1">
      <c r="A1" s="4" t="inlineStr">
        <is>
          <t>One row per combatant. 'layers' is outermost-first and rotates as it takes hits. 'pool' is which abilities this unit may use. Add enemies by adding rows. `drops` is what BEATING this unit may leave, as kind:amount:chance - CRYSTAL:2:0.75|SEGMENT:3:0.55|ORB:1:0.40 means up to two crystals three quarters of the time, up to three Track Segments just over half, and a Stamina Orb (which gives back orbMsPct of MaxMS) two times in five. Each is rolled on its own, so an enemy can leave everything, something, or nothing. Blank means nothing ever. `tier` is WEAK / REGULAR / STRONG: it is not a stat, it is what the enemy LOOKS like - a weak one is concentric triangles in battle and a small dart on the ride, a strong one is a seven-pointed star and a large spined shape. `spawn_lines` is where the map may produce it, as line:weight - L2:0.15|L5:0.15 means an uncommon sight on either. `*` is every line, and is what keeps a line with no units of its own from being empty. LEAVE IT BLANK for a boss: a unit the ride can never roll is one only the objectives sheet can reach. `persona` PINS this unit to one row of the dialogue sheet instead of drawing a character at random, which is what a boss needs and an anonymous commuter does not. `bg_bright` multiplies how strongly this enemy's colour lights the battle backdrop (blank or 1 is normal, 3 is three times as bright); `fx` names a flourish the fight runs around it (PAPARAZZI); `theme_opening`/`theme_loop` swap the battle music for this fight alone, and blank means the usual theme - a blank OPENING with a loop filled in simply starts on the loop. `ai_profile` is HOW IT DECIDES, as opposed to what it can do. GREEDY_MAX_DAMAGE (the default, and what every enemy used to share) takes at most one debuff a round and spends the rest of the line on damage. DEBUFF_FIRST takes every debuff it can afford that would actually land, and only then fills what is left - the difference between an enemy that occasionally inconveniences you and one whose whole idea is that it never hurts you much. `role` marks a unit as something the game treats specially: LINE_MANAGER gives it the second wind at bossPhaseAt, the shaking announcement on the platform, the two parting lines and the seven-second sink, and `theme2_loop` is the music its second phase is fought to. `scale` is how large it is drawn in battle against an ordinary enemy of its tier - 1.5 is half again, and every station boss carries it - and blank is 1.</t>
        </is>
      </c>
    </row>
    <row r="3">
      <c r="A3" s="5" t="inlineStr">
        <is>
          <t>id</t>
        </is>
      </c>
      <c r="B3" s="5" t="inlineStr">
        <is>
          <t>name</t>
        </is>
      </c>
      <c r="C3" s="5" t="inlineStr">
        <is>
          <t>emotion</t>
        </is>
      </c>
      <c r="D3" s="5" t="inlineStr">
        <is>
          <t>tier</t>
        </is>
      </c>
      <c r="E3" s="5" t="inlineStr">
        <is>
          <t>max_ms</t>
        </is>
      </c>
      <c r="F3" s="5" t="inlineStr">
        <is>
          <t>start_ec_pct</t>
        </is>
      </c>
      <c r="G3" s="5" t="inlineStr">
        <is>
          <t>layers</t>
        </is>
      </c>
      <c r="H3" s="5" t="inlineStr">
        <is>
          <t>pool</t>
        </is>
      </c>
      <c r="I3" s="5" t="inlineStr">
        <is>
          <t>line_dir</t>
        </is>
      </c>
      <c r="J3" s="5" t="inlineStr">
        <is>
          <t>line_cap</t>
        </is>
      </c>
      <c r="K3" s="5" t="inlineStr">
        <is>
          <t>max_bonus_slots</t>
        </is>
      </c>
      <c r="L3" s="5" t="inlineStr">
        <is>
          <t>loadouts</t>
        </is>
      </c>
      <c r="M3" s="5" t="inlineStr">
        <is>
          <t>spawn_lines</t>
        </is>
      </c>
      <c r="N3" s="5" t="inlineStr">
        <is>
          <t>drops</t>
        </is>
      </c>
      <c r="O3" s="5" t="inlineStr">
        <is>
          <t>persona</t>
        </is>
      </c>
      <c r="P3" s="5" t="inlineStr">
        <is>
          <t>role</t>
        </is>
      </c>
      <c r="Q3" s="5" t="inlineStr">
        <is>
          <t>scale</t>
        </is>
      </c>
      <c r="R3" s="5" t="inlineStr">
        <is>
          <t>bg_bright</t>
        </is>
      </c>
      <c r="S3" s="5" t="inlineStr">
        <is>
          <t>fx</t>
        </is>
      </c>
      <c r="T3" s="5" t="inlineStr">
        <is>
          <t>theme_opening</t>
        </is>
      </c>
      <c r="U3" s="5" t="inlineStr">
        <is>
          <t>theme_loop</t>
        </is>
      </c>
      <c r="V3" s="5" t="inlineStr">
        <is>
          <t>theme2_loop</t>
        </is>
      </c>
      <c r="W3" s="5" t="inlineStr">
        <is>
          <t>ai_profile</t>
        </is>
      </c>
      <c r="X3" s="5" t="inlineStr">
        <is>
          <t>init</t>
        </is>
      </c>
      <c r="Y3" s="5" t="inlineStr">
        <is>
          <t>start_shield</t>
        </is>
      </c>
      <c r="Z3" s="5" t="inlineStr">
        <is>
          <t>max_layers_override</t>
        </is>
      </c>
      <c r="AA3" s="5" t="inlineStr">
        <is>
          <t>tags</t>
        </is>
      </c>
      <c r="AB3" s="5" t="inlineStr">
        <is>
          <t>enabled</t>
        </is>
      </c>
      <c r="AC3" s="5" t="inlineStr">
        <is>
          <t>notes</t>
        </is>
      </c>
    </row>
    <row r="4">
      <c r="A4" s="6" t="inlineStr">
        <is>
          <t>LIVE</t>
        </is>
      </c>
      <c r="B4" s="6" t="inlineStr">
        <is>
          <t>LIVE</t>
        </is>
      </c>
      <c r="C4" s="6" t="inlineStr">
        <is>
          <t>LIVE</t>
        </is>
      </c>
      <c r="D4" s="6" t="inlineStr">
        <is>
          <t>LIVE</t>
        </is>
      </c>
      <c r="E4" s="6" t="inlineStr">
        <is>
          <t>LIVE</t>
        </is>
      </c>
      <c r="F4" s="6" t="inlineStr">
        <is>
          <t>LIVE</t>
        </is>
      </c>
      <c r="G4" s="6" t="inlineStr">
        <is>
          <t>LIVE</t>
        </is>
      </c>
      <c r="H4" s="6" t="inlineStr">
        <is>
          <t>LIVE</t>
        </is>
      </c>
      <c r="I4" s="6" t="inlineStr">
        <is>
          <t>LIVE</t>
        </is>
      </c>
      <c r="J4" s="6" t="inlineStr">
        <is>
          <t>LIVE</t>
        </is>
      </c>
      <c r="K4" s="6" t="inlineStr">
        <is>
          <t>LIVE</t>
        </is>
      </c>
      <c r="L4" s="6" t="inlineStr">
        <is>
          <t>LIVE</t>
        </is>
      </c>
      <c r="M4" s="6" t="inlineStr">
        <is>
          <t>LIVE</t>
        </is>
      </c>
      <c r="N4" s="6" t="inlineStr">
        <is>
          <t>LIVE</t>
        </is>
      </c>
      <c r="O4" s="6" t="inlineStr">
        <is>
          <t>LIVE</t>
        </is>
      </c>
      <c r="P4" s="6" t="inlineStr">
        <is>
          <t>LIVE</t>
        </is>
      </c>
      <c r="Q4" s="6" t="inlineStr">
        <is>
          <t>LIVE</t>
        </is>
      </c>
      <c r="R4" s="6" t="inlineStr">
        <is>
          <t>LIVE</t>
        </is>
      </c>
      <c r="S4" s="6" t="inlineStr">
        <is>
          <t>LIVE</t>
        </is>
      </c>
      <c r="T4" s="6" t="inlineStr">
        <is>
          <t>LIVE</t>
        </is>
      </c>
      <c r="U4" s="6" t="inlineStr">
        <is>
          <t>LIVE</t>
        </is>
      </c>
      <c r="V4" s="6" t="inlineStr">
        <is>
          <t>LIVE</t>
        </is>
      </c>
      <c r="W4" s="6" t="inlineStr">
        <is>
          <t>LIVE</t>
        </is>
      </c>
      <c r="X4" s="7" t="inlineStr">
        <is>
          <t>planned</t>
        </is>
      </c>
      <c r="Y4" s="7" t="inlineStr">
        <is>
          <t>planned</t>
        </is>
      </c>
      <c r="Z4" s="7" t="inlineStr">
        <is>
          <t>planned</t>
        </is>
      </c>
      <c r="AA4" s="7" t="inlineStr">
        <is>
          <t>planned</t>
        </is>
      </c>
      <c r="AB4" s="7" t="inlineStr">
        <is>
          <t>planned</t>
        </is>
      </c>
      <c r="AC4" s="7" t="inlineStr">
        <is>
          <t>planned</t>
        </is>
      </c>
    </row>
    <row r="5">
      <c r="A5" s="8" t="inlineStr">
        <is>
          <t>player</t>
        </is>
      </c>
      <c r="B5" s="8" t="inlineStr">
        <is>
          <t>You</t>
        </is>
      </c>
      <c r="C5" s="8" t="inlineStr"/>
      <c r="D5" s="8" t="inlineStr"/>
      <c r="E5" s="8" t="n">
        <v>400</v>
      </c>
      <c r="F5" s="8" t="n">
        <v>0.5</v>
      </c>
      <c r="G5" s="8" t="inlineStr">
        <is>
          <t>JOY|SADNESS</t>
        </is>
      </c>
      <c r="H5" s="8" t="inlineStr">
        <is>
          <t>ATK_ANGER|ATK_SADNESS|ATK_JOY|DEFEND|RECHARGE|HVY_ANGER|HVY_SADNESS|HVY_JOY|GEN_DISGUST|GEN_ANGER|ROT|INFLICT_SAD</t>
        </is>
      </c>
      <c r="I5" s="8" t="n">
        <v>1</v>
      </c>
      <c r="J5" s="8" t="n">
        <v>3</v>
      </c>
      <c r="K5" s="8" t="n">
        <v>6</v>
      </c>
      <c r="L5" s="8" t="inlineStr">
        <is>
          <t>LO_ANGER|LO_SADNESS|LO_JOY</t>
        </is>
      </c>
      <c r="M5" s="8" t="inlineStr"/>
      <c r="N5" s="8" t="inlineStr"/>
      <c r="O5" s="8" t="inlineStr"/>
      <c r="P5" s="8" t="inlineStr"/>
      <c r="Q5" s="8" t="inlineStr"/>
      <c r="R5" s="8" t="inlineStr"/>
      <c r="S5" s="8" t="inlineStr"/>
      <c r="T5" s="8" t="inlineStr"/>
      <c r="U5" s="8" t="inlineStr"/>
      <c r="V5" s="8" t="inlineStr"/>
      <c r="W5" s="8" t="inlineStr"/>
      <c r="X5" s="8" t="n">
        <v>10</v>
      </c>
      <c r="Y5" s="8" t="n">
        <v>0</v>
      </c>
      <c r="Z5" s="8" t="inlineStr"/>
      <c r="AA5" s="8" t="inlineStr">
        <is>
          <t>PLAYER</t>
        </is>
      </c>
      <c r="AB5" s="8" t="n">
        <v>1</v>
      </c>
      <c r="AC5" s="8" t="inlineStr"/>
    </row>
    <row r="6">
      <c r="A6" s="8" t="inlineStr">
        <is>
          <t>enemy</t>
        </is>
      </c>
      <c r="B6" s="8" t="inlineStr">
        <is>
          <t>The Commuter</t>
        </is>
      </c>
      <c r="C6" s="8" t="inlineStr">
        <is>
          <t>ANGER</t>
        </is>
      </c>
      <c r="D6" s="8" t="inlineStr">
        <is>
          <t>REGULAR</t>
        </is>
      </c>
      <c r="E6" s="8" t="n">
        <v>250</v>
      </c>
      <c r="F6" s="8" t="n">
        <v>0.4</v>
      </c>
      <c r="G6" s="8" t="inlineStr">
        <is>
          <t>ANGER|ANGER|SADNESS</t>
        </is>
      </c>
      <c r="H6" s="8" t="inlineStr">
        <is>
          <t>ATK_ANGER|ATK_SADNESS|ATK_JOY|DEFEND|RECHARGE|HVY_ANGER|HVY_SADNESS|HVY_JOY|BLIND</t>
        </is>
      </c>
      <c r="I6" s="8" t="n">
        <v>-1</v>
      </c>
      <c r="J6" s="8" t="n">
        <v>3</v>
      </c>
      <c r="K6" s="8" t="n">
        <v>6</v>
      </c>
      <c r="L6" s="8" t="inlineStr"/>
      <c r="M6" s="8" t="inlineStr">
        <is>
          <t>L1:1.2|*:0.75</t>
        </is>
      </c>
      <c r="N6" s="8" t="inlineStr">
        <is>
          <t>CRYSTAL:2:0.75|SEGMENT:3:0.55|ORB:1:0.40</t>
        </is>
      </c>
      <c r="O6" s="8" t="inlineStr"/>
      <c r="P6" s="8" t="inlineStr"/>
      <c r="Q6" s="8" t="inlineStr"/>
      <c r="R6" s="8" t="inlineStr"/>
      <c r="S6" s="8" t="inlineStr"/>
      <c r="T6" s="8" t="inlineStr"/>
      <c r="U6" s="8" t="inlineStr"/>
      <c r="V6" s="8" t="inlineStr"/>
      <c r="W6" s="8" t="inlineStr">
        <is>
          <t>GREEDY_MAX_DAMAGE</t>
        </is>
      </c>
      <c r="X6" s="8" t="n">
        <v>8</v>
      </c>
      <c r="Y6" s="8" t="n">
        <v>0</v>
      </c>
      <c r="Z6" s="8" t="inlineStr"/>
      <c r="AA6" s="8" t="inlineStr">
        <is>
          <t>ENEMY</t>
        </is>
      </c>
      <c r="AB6" s="8" t="n">
        <v>1</v>
      </c>
      <c r="AC6" s="8" t="inlineStr">
        <is>
          <t>AI reads the matchups sheet, so retuning it retunes the AI. `drops` is what beating this one may leave. The `*` in spawn_lines is what stops L3, L4 and L6 being empty of enemies until they have units of their own — the Commuter rides every line, which is the joke and also the fallback.</t>
        </is>
      </c>
    </row>
    <row r="7">
      <c r="A7" s="8" t="inlineStr">
        <is>
          <t>enemy_anger_strong</t>
        </is>
      </c>
      <c r="B7" s="8" t="inlineStr">
        <is>
          <t>The Enforcer</t>
        </is>
      </c>
      <c r="C7" s="8" t="inlineStr">
        <is>
          <t>ANGER</t>
        </is>
      </c>
      <c r="D7" s="8" t="inlineStr">
        <is>
          <t>STRONG</t>
        </is>
      </c>
      <c r="E7" s="8" t="n">
        <v>330</v>
      </c>
      <c r="F7" s="8" t="n">
        <v>0.5</v>
      </c>
      <c r="G7" s="8" t="inlineStr">
        <is>
          <t>ANGER|ANGER|ANGER|SADNESS</t>
        </is>
      </c>
      <c r="H7" s="8" t="inlineStr">
        <is>
          <t>ATK_ANGER|HVY_ANGER|GEN_ANGER|BLIND|ATK_SADNESS|DEFEND|RECHARGE</t>
        </is>
      </c>
      <c r="I7" s="8" t="n">
        <v>-1</v>
      </c>
      <c r="J7" s="8" t="n">
        <v>3</v>
      </c>
      <c r="K7" s="8" t="n">
        <v>6</v>
      </c>
      <c r="L7" s="8" t="inlineStr"/>
      <c r="M7" s="8" t="inlineStr">
        <is>
          <t>L1:0.14</t>
        </is>
      </c>
      <c r="N7" s="8" t="inlineStr">
        <is>
          <t>CRYSTAL:3:0.85|SEGMENT:4:0.70|ORB:1:0.55</t>
        </is>
      </c>
      <c r="O7" s="8" t="inlineStr"/>
      <c r="P7" s="8" t="inlineStr"/>
      <c r="Q7" s="8" t="inlineStr"/>
      <c r="R7" s="8" t="inlineStr"/>
      <c r="S7" s="8" t="inlineStr"/>
      <c r="T7" s="8" t="inlineStr"/>
      <c r="U7" s="8" t="inlineStr"/>
      <c r="V7" s="8" t="inlineStr"/>
      <c r="W7" s="8" t="inlineStr">
        <is>
          <t>GREEDY_MAX_DAMAGE</t>
        </is>
      </c>
      <c r="X7" s="8" t="n">
        <v>8</v>
      </c>
      <c r="Y7" s="8" t="n">
        <v>0</v>
      </c>
      <c r="Z7" s="8" t="inlineStr"/>
      <c r="AA7" s="8" t="inlineStr">
        <is>
          <t>ENEMY</t>
        </is>
      </c>
      <c r="AB7" s="8" t="n">
        <v>1</v>
      </c>
      <c r="AC7" s="8" t="inlineStr">
        <is>
          <t>Anger, turned up: one more layer than the Commuter and a third more stamina, and its pool is nearly all Anger, so an Anger-layered player is drinking most of it while anyone else is not.</t>
        </is>
      </c>
    </row>
    <row r="8">
      <c r="A8" s="8" t="inlineStr">
        <is>
          <t>enemy_surprise</t>
        </is>
      </c>
      <c r="B8" s="8" t="inlineStr">
        <is>
          <t>The Interruption</t>
        </is>
      </c>
      <c r="C8" s="8" t="inlineStr">
        <is>
          <t>SURPRISE</t>
        </is>
      </c>
      <c r="D8" s="8" t="inlineStr">
        <is>
          <t>REGULAR</t>
        </is>
      </c>
      <c r="E8" s="8" t="n">
        <v>240</v>
      </c>
      <c r="F8" s="8" t="n">
        <v>0.4</v>
      </c>
      <c r="G8" s="8" t="inlineStr">
        <is>
          <t>SURPRISE|SURPRISE|ANGER</t>
        </is>
      </c>
      <c r="H8" s="8" t="inlineStr">
        <is>
          <t>ATK_SURPRISE|HVY_SURPRISE|STARTLE|ATK_ANGER|DEFEND|RECHARGE</t>
        </is>
      </c>
      <c r="I8" s="8" t="n">
        <v>-1</v>
      </c>
      <c r="J8" s="8" t="n">
        <v>3</v>
      </c>
      <c r="K8" s="8" t="n">
        <v>6</v>
      </c>
      <c r="L8" s="8" t="inlineStr"/>
      <c r="M8" s="8" t="inlineStr">
        <is>
          <t>L2:1.2</t>
        </is>
      </c>
      <c r="N8" s="8" t="inlineStr">
        <is>
          <t>CRYSTAL:2:0.75|SEGMENT:3:0.55|ORB:1:0.40</t>
        </is>
      </c>
      <c r="O8" s="8" t="inlineStr"/>
      <c r="P8" s="8" t="inlineStr"/>
      <c r="Q8" s="8" t="inlineStr"/>
      <c r="R8" s="8" t="inlineStr"/>
      <c r="S8" s="8" t="inlineStr"/>
      <c r="T8" s="8" t="inlineStr"/>
      <c r="U8" s="8" t="inlineStr"/>
      <c r="V8" s="8" t="inlineStr"/>
      <c r="W8" s="8" t="inlineStr">
        <is>
          <t>GREEDY_MAX_DAMAGE</t>
        </is>
      </c>
      <c r="X8" s="8" t="n">
        <v>8</v>
      </c>
      <c r="Y8" s="8" t="n">
        <v>0</v>
      </c>
      <c r="Z8" s="8" t="inlineStr"/>
      <c r="AA8" s="8" t="inlineStr">
        <is>
          <t>ENEMY</t>
        </is>
      </c>
      <c r="AB8" s="8" t="n">
        <v>1</v>
      </c>
      <c r="AC8" s="8" t="inlineStr">
        <is>
          <t>L2's own. Slightly under the Commuter on stamina because STARTLE is worth more than it costs when it lands.</t>
        </is>
      </c>
    </row>
    <row r="9">
      <c r="A9" s="8" t="inlineStr">
        <is>
          <t>enemy_surprise_strong</t>
        </is>
      </c>
      <c r="B9" s="8" t="inlineStr">
        <is>
          <t>The Reversal</t>
        </is>
      </c>
      <c r="C9" s="8" t="inlineStr">
        <is>
          <t>SURPRISE</t>
        </is>
      </c>
      <c r="D9" s="8" t="inlineStr">
        <is>
          <t>STRONG</t>
        </is>
      </c>
      <c r="E9" s="8" t="n">
        <v>320</v>
      </c>
      <c r="F9" s="8" t="n">
        <v>0.5</v>
      </c>
      <c r="G9" s="8" t="inlineStr">
        <is>
          <t>SURPRISE|SURPRISE|SURPRISE|JOY</t>
        </is>
      </c>
      <c r="H9" s="8" t="inlineStr">
        <is>
          <t>ATK_SURPRISE|HVY_SURPRISE|STARTLE|GEN_ANGER|ATK_JOY|DEFEND|RECHARGE</t>
        </is>
      </c>
      <c r="I9" s="8" t="n">
        <v>-1</v>
      </c>
      <c r="J9" s="8" t="n">
        <v>3</v>
      </c>
      <c r="K9" s="8" t="n">
        <v>6</v>
      </c>
      <c r="L9" s="8" t="inlineStr"/>
      <c r="M9" s="8" t="inlineStr">
        <is>
          <t>L2:0.12</t>
        </is>
      </c>
      <c r="N9" s="8" t="inlineStr">
        <is>
          <t>CRYSTAL:3:0.85|SEGMENT:4:0.70|ORB:1:0.55</t>
        </is>
      </c>
      <c r="O9" s="8" t="inlineStr"/>
      <c r="P9" s="8" t="inlineStr"/>
      <c r="Q9" s="8" t="inlineStr"/>
      <c r="R9" s="8" t="inlineStr"/>
      <c r="S9" s="8" t="inlineStr"/>
      <c r="T9" s="8" t="inlineStr"/>
      <c r="U9" s="8" t="inlineStr"/>
      <c r="V9" s="8" t="inlineStr"/>
      <c r="W9" s="8" t="inlineStr">
        <is>
          <t>GREEDY_MAX_DAMAGE</t>
        </is>
      </c>
      <c r="X9" s="8" t="n">
        <v>8</v>
      </c>
      <c r="Y9" s="8" t="n">
        <v>0</v>
      </c>
      <c r="Z9" s="8" t="inlineStr"/>
      <c r="AA9" s="8" t="inlineStr">
        <is>
          <t>ENEMY</t>
        </is>
      </c>
      <c r="AB9" s="8" t="n">
        <v>1</v>
      </c>
      <c r="AC9" s="8" t="inlineStr">
        <is>
          <t>Three Surprise layers deep. GEN_ANGER is in the pool so it can grow a layer that does NOT absorb Surprise, which is the counter to a player who came dressed for it.</t>
        </is>
      </c>
    </row>
    <row r="10">
      <c r="A10" s="8" t="inlineStr">
        <is>
          <t>enemy_sadness_weak</t>
        </is>
      </c>
      <c r="B10" s="8" t="inlineStr">
        <is>
          <t>The Straggler</t>
        </is>
      </c>
      <c r="C10" s="8" t="inlineStr">
        <is>
          <t>SADNESS</t>
        </is>
      </c>
      <c r="D10" s="8" t="inlineStr">
        <is>
          <t>WEAK</t>
        </is>
      </c>
      <c r="E10" s="8" t="n">
        <v>150</v>
      </c>
      <c r="F10" s="8" t="n">
        <v>0.3</v>
      </c>
      <c r="G10" s="8" t="inlineStr">
        <is>
          <t>SADNESS|SADNESS</t>
        </is>
      </c>
      <c r="H10" s="8" t="inlineStr">
        <is>
          <t>ATK_SADNESS|INFLICT_SAD|DEFEND|RECHARGE</t>
        </is>
      </c>
      <c r="I10" s="8" t="n">
        <v>-1</v>
      </c>
      <c r="J10" s="8" t="n">
        <v>2</v>
      </c>
      <c r="K10" s="8" t="n">
        <v>4</v>
      </c>
      <c r="L10" s="8" t="inlineStr"/>
      <c r="M10" s="8" t="inlineStr">
        <is>
          <t>L2:0.6|L5:0.7</t>
        </is>
      </c>
      <c r="N10" s="8" t="inlineStr">
        <is>
          <t>CRYSTAL:1:0.45|SEGMENT:2:0.40</t>
        </is>
      </c>
      <c r="O10" s="8" t="inlineStr"/>
      <c r="P10" s="8" t="inlineStr"/>
      <c r="Q10" s="8" t="inlineStr"/>
      <c r="R10" s="8" t="inlineStr"/>
      <c r="S10" s="8" t="inlineStr"/>
      <c r="T10" s="8" t="inlineStr"/>
      <c r="U10" s="8" t="inlineStr"/>
      <c r="V10" s="8" t="inlineStr"/>
      <c r="W10" s="8" t="inlineStr">
        <is>
          <t>GREEDY_MAX_DAMAGE</t>
        </is>
      </c>
      <c r="X10" s="8" t="n">
        <v>8</v>
      </c>
      <c r="Y10" s="8" t="n">
        <v>0</v>
      </c>
      <c r="Z10" s="8" t="inlineStr"/>
      <c r="AA10" s="8" t="inlineStr">
        <is>
          <t>ENEMY</t>
        </is>
      </c>
      <c r="AB10" s="8" t="n">
        <v>1</v>
      </c>
      <c r="AC10" s="8" t="inlineStr">
        <is>
          <t>No heavy in the pool, on purpose: a WEAK enemy chips. Two slots, two layers, and INFLICT_SAD is the one thing it can do that you will remember. RARE EVEN AT HOME — the sheet says L5 at 0.15, not 1.0, because it was asked for as an uncommon sight on both its lines. Raise the L5 cell to make it Line 5's regular.</t>
        </is>
      </c>
    </row>
    <row r="11">
      <c r="A11" s="8" t="inlineStr">
        <is>
          <t>enemy_joy_weak</t>
        </is>
      </c>
      <c r="B11" s="8" t="inlineStr">
        <is>
          <t>The Reveller</t>
        </is>
      </c>
      <c r="C11" s="8" t="inlineStr">
        <is>
          <t>JOY</t>
        </is>
      </c>
      <c r="D11" s="8" t="inlineStr">
        <is>
          <t>WEAK</t>
        </is>
      </c>
      <c r="E11" s="8" t="n">
        <v>150</v>
      </c>
      <c r="F11" s="8" t="n">
        <v>0.3</v>
      </c>
      <c r="G11" s="8" t="inlineStr">
        <is>
          <t>JOY|JOY</t>
        </is>
      </c>
      <c r="H11" s="8" t="inlineStr">
        <is>
          <t>ATK_JOY|GEN_JOY|DEFEND|RECHARGE</t>
        </is>
      </c>
      <c r="I11" s="8" t="n">
        <v>-1</v>
      </c>
      <c r="J11" s="8" t="n">
        <v>2</v>
      </c>
      <c r="K11" s="8" t="n">
        <v>4</v>
      </c>
      <c r="L11" s="8" t="inlineStr"/>
      <c r="M11" s="8" t="inlineStr">
        <is>
          <t>L2:0.6|L4:0.7</t>
        </is>
      </c>
      <c r="N11" s="8" t="inlineStr">
        <is>
          <t>CRYSTAL:1:0.45|SEGMENT:2:0.40</t>
        </is>
      </c>
      <c r="O11" s="8" t="inlineStr"/>
      <c r="P11" s="8" t="inlineStr"/>
      <c r="Q11" s="8" t="inlineStr"/>
      <c r="R11" s="8" t="inlineStr"/>
      <c r="S11" s="8" t="inlineStr"/>
      <c r="T11" s="8" t="inlineStr"/>
      <c r="U11" s="8" t="inlineStr"/>
      <c r="V11" s="8" t="inlineStr"/>
      <c r="W11" s="8" t="inlineStr">
        <is>
          <t>GREEDY_MAX_DAMAGE</t>
        </is>
      </c>
      <c r="X11" s="8" t="n">
        <v>8</v>
      </c>
      <c r="Y11" s="8" t="n">
        <v>0</v>
      </c>
      <c r="Z11" s="8" t="inlineStr"/>
      <c r="AA11" s="8" t="inlineStr">
        <is>
          <t>ENEMY</t>
        </is>
      </c>
      <c r="AB11" s="8" t="n">
        <v>1</v>
      </c>
      <c r="AC11" s="8" t="inlineStr">
        <is>
          <t>On L2 because that is where the wrong people end up, and on L4 because that is where the right ones do. It is the same reveller either way; only the line around it changes what that means.</t>
        </is>
      </c>
    </row>
    <row r="12">
      <c r="A12" s="8" t="inlineStr">
        <is>
          <t>enemy_joy</t>
        </is>
      </c>
      <c r="B12" s="8" t="inlineStr">
        <is>
          <t>The Celebrant</t>
        </is>
      </c>
      <c r="C12" s="8" t="inlineStr">
        <is>
          <t>JOY</t>
        </is>
      </c>
      <c r="D12" s="8" t="inlineStr">
        <is>
          <t>REGULAR</t>
        </is>
      </c>
      <c r="E12" s="8" t="n">
        <v>245</v>
      </c>
      <c r="F12" s="8" t="n">
        <v>0.4</v>
      </c>
      <c r="G12" s="8" t="inlineStr">
        <is>
          <t>JOY|JOY|SURPRISE</t>
        </is>
      </c>
      <c r="H12" s="8" t="inlineStr">
        <is>
          <t>ATK_JOY|HVY_JOY|GEN_JOY|ATK_SURPRISE|DEFEND|RECHARGE</t>
        </is>
      </c>
      <c r="I12" s="8" t="n">
        <v>-1</v>
      </c>
      <c r="J12" s="8" t="n">
        <v>3</v>
      </c>
      <c r="K12" s="8" t="n">
        <v>6</v>
      </c>
      <c r="L12" s="8" t="inlineStr"/>
      <c r="M12" s="8" t="inlineStr">
        <is>
          <t>L4:1.2</t>
        </is>
      </c>
      <c r="N12" s="8" t="inlineStr">
        <is>
          <t>CRYSTAL:2:0.75|SEGMENT:3:0.55|ORB:1:0.40</t>
        </is>
      </c>
      <c r="O12" s="8" t="inlineStr"/>
      <c r="P12" s="8" t="inlineStr"/>
      <c r="Q12" s="8" t="inlineStr"/>
      <c r="R12" s="8" t="inlineStr"/>
      <c r="S12" s="8" t="inlineStr"/>
      <c r="T12" s="8" t="inlineStr"/>
      <c r="U12" s="8" t="inlineStr"/>
      <c r="V12" s="8" t="inlineStr"/>
      <c r="W12" s="8" t="inlineStr">
        <is>
          <t>GREEDY_MAX_DAMAGE</t>
        </is>
      </c>
      <c r="X12" s="8" t="n">
        <v>8</v>
      </c>
      <c r="Y12" s="8" t="n">
        <v>0</v>
      </c>
      <c r="Z12" s="8" t="inlineStr"/>
      <c r="AA12" s="8" t="inlineStr">
        <is>
          <t>ENEMY</t>
        </is>
      </c>
      <c r="AB12" s="8" t="n">
        <v>1</v>
      </c>
      <c r="AC12" s="8" t="inlineStr">
        <is>
          <t>L4's regular, and the counterpart to the Commuter on L1. The SURPRISE layer under two of Joy is what stops a Joy-dressed player drinking the whole fight.</t>
        </is>
      </c>
    </row>
    <row r="13">
      <c r="A13" s="8" t="inlineStr">
        <is>
          <t>enemy_joy_strong</t>
        </is>
      </c>
      <c r="B13" s="8" t="inlineStr">
        <is>
          <t>The Euphoric</t>
        </is>
      </c>
      <c r="C13" s="8" t="inlineStr">
        <is>
          <t>JOY</t>
        </is>
      </c>
      <c r="D13" s="8" t="inlineStr">
        <is>
          <t>STRONG</t>
        </is>
      </c>
      <c r="E13" s="8" t="n">
        <v>325</v>
      </c>
      <c r="F13" s="8" t="n">
        <v>0.5</v>
      </c>
      <c r="G13" s="8" t="inlineStr">
        <is>
          <t>JOY|JOY|JOY|SURPRISE</t>
        </is>
      </c>
      <c r="H13" s="8" t="inlineStr">
        <is>
          <t>ATK_JOY|HVY_JOY|GEN_JOY|ATK_SURPRISE|STARTLE|DEFEND|RECHARGE</t>
        </is>
      </c>
      <c r="I13" s="8" t="n">
        <v>-1</v>
      </c>
      <c r="J13" s="8" t="n">
        <v>3</v>
      </c>
      <c r="K13" s="8" t="n">
        <v>6</v>
      </c>
      <c r="L13" s="8" t="inlineStr"/>
      <c r="M13" s="8" t="inlineStr">
        <is>
          <t>L4:0.12</t>
        </is>
      </c>
      <c r="N13" s="8" t="inlineStr">
        <is>
          <t>CRYSTAL:3:0.85|SEGMENT:4:0.70|ORB:1:0.55</t>
        </is>
      </c>
      <c r="O13" s="8" t="inlineStr"/>
      <c r="P13" s="8" t="inlineStr"/>
      <c r="Q13" s="8" t="inlineStr"/>
      <c r="R13" s="8" t="inlineStr"/>
      <c r="S13" s="8" t="inlineStr"/>
      <c r="T13" s="8" t="inlineStr"/>
      <c r="U13" s="8" t="inlineStr"/>
      <c r="V13" s="8" t="inlineStr"/>
      <c r="W13" s="8" t="inlineStr">
        <is>
          <t>GREEDY_MAX_DAMAGE</t>
        </is>
      </c>
      <c r="X13" s="8" t="n">
        <v>8</v>
      </c>
      <c r="Y13" s="8" t="n">
        <v>0</v>
      </c>
      <c r="Z13" s="8" t="inlineStr"/>
      <c r="AA13" s="8" t="inlineStr">
        <is>
          <t>ENEMY</t>
        </is>
      </c>
      <c r="AB13" s="8" t="n">
        <v>1</v>
      </c>
      <c r="AC13" s="8" t="inlineStr">
        <is>
          <t>Joy with nothing holding it back. HVY_JOY is the hardest single hit in the game and this is the only ordinary enemy carrying it, which is the whole of its threat - a long charge you can see coming and have to decide what to do about.</t>
        </is>
      </c>
    </row>
    <row r="14">
      <c r="A14" s="8" t="inlineStr">
        <is>
          <t>enemy_disgust_strong</t>
        </is>
      </c>
      <c r="B14" s="8" t="inlineStr">
        <is>
          <t>The Damp</t>
        </is>
      </c>
      <c r="C14" s="8" t="inlineStr">
        <is>
          <t>DISGUST</t>
        </is>
      </c>
      <c r="D14" s="8" t="inlineStr">
        <is>
          <t>STRONG</t>
        </is>
      </c>
      <c r="E14" s="8" t="n">
        <v>520</v>
      </c>
      <c r="F14" s="8" t="n">
        <v>0.55</v>
      </c>
      <c r="G14" s="8" t="inlineStr">
        <is>
          <t>DISGUST|DISGUST|SADNESS|DISGUST</t>
        </is>
      </c>
      <c r="H14" s="8" t="inlineStr">
        <is>
          <t>ATK_DISGUST|TAINT|NAUSEA|SPOIL|ROT|GEN_DISGUST|DEFEND|RECHARGE</t>
        </is>
      </c>
      <c r="I14" s="8" t="n">
        <v>-1</v>
      </c>
      <c r="J14" s="8" t="n">
        <v>4</v>
      </c>
      <c r="K14" s="8" t="n">
        <v>6</v>
      </c>
      <c r="L14" s="8" t="inlineStr"/>
      <c r="M14" s="8" t="inlineStr">
        <is>
          <t>L4:0.10</t>
        </is>
      </c>
      <c r="N14" s="8" t="inlineStr">
        <is>
          <t>CRYSTAL:3:0.90|SEGMENT:4:0.75|ORB:2:0.60</t>
        </is>
      </c>
      <c r="O14" s="8" t="inlineStr"/>
      <c r="P14" s="8" t="inlineStr"/>
      <c r="Q14" s="8" t="inlineStr"/>
      <c r="R14" s="8" t="inlineStr"/>
      <c r="S14" s="8" t="inlineStr"/>
      <c r="T14" s="8" t="inlineStr"/>
      <c r="U14" s="8" t="inlineStr"/>
      <c r="V14" s="8" t="inlineStr"/>
      <c r="W14" s="8" t="inlineStr">
        <is>
          <t>DEBUFF_FIRST</t>
        </is>
      </c>
      <c r="X14" s="8" t="n">
        <v>8</v>
      </c>
      <c r="Y14" s="8" t="n">
        <v>0</v>
      </c>
      <c r="Z14" s="8" t="inlineStr"/>
      <c r="AA14" s="8" t="inlineStr">
        <is>
          <t>ENEMY</t>
        </is>
      </c>
      <c r="AB14" s="8" t="n">
        <v>1</v>
      </c>
      <c r="AC14" s="8" t="inlineStr">
        <is>
          <t>MORE STAMINA THAN A STATION BOSS and less damage than a weak enemy - the two facts are the same design. Six of its eight abilities are debuffs or layers, and the AI will not repeat a status the target already has (see aiDebuffChance), so it works through all four in turn: your layers held down, your aim gone, your own attacks turned on you, your crits gone. It cannot kill you quickly. It can make the rest of the ride miserable, and it takes a very long time to shift.</t>
        </is>
      </c>
    </row>
    <row r="15">
      <c r="A15" s="8" t="inlineStr">
        <is>
          <t>boss_fondo</t>
        </is>
      </c>
      <c r="B15" s="8" t="inlineStr">
        <is>
          <t>The Terminus</t>
        </is>
      </c>
      <c r="C15" s="8" t="inlineStr">
        <is>
          <t>ANGER</t>
        </is>
      </c>
      <c r="D15" s="8" t="inlineStr">
        <is>
          <t>STRONG</t>
        </is>
      </c>
      <c r="E15" s="8" t="n">
        <v>344</v>
      </c>
      <c r="F15" s="8" t="n">
        <v>0.55</v>
      </c>
      <c r="G15" s="8" t="inlineStr">
        <is>
          <t>ANGER|ANGER|ANGER</t>
        </is>
      </c>
      <c r="H15" s="8" t="inlineStr">
        <is>
          <t>ATK_ANGER|HVY_ANGER|GEN_ANGER|BLIND|DEFEND|RECHARGE</t>
        </is>
      </c>
      <c r="I15" s="8" t="n">
        <v>-1</v>
      </c>
      <c r="J15" s="8" t="n">
        <v>4</v>
      </c>
      <c r="K15" s="8" t="n">
        <v>6</v>
      </c>
      <c r="L15" s="8" t="inlineStr"/>
      <c r="M15" s="8" t="inlineStr"/>
      <c r="N15" s="8" t="inlineStr">
        <is>
          <t>CRYSTAL:4:1.0|SEGMENT:4:0.80|ORB:2:0.70</t>
        </is>
      </c>
      <c r="O15" s="8" t="inlineStr">
        <is>
          <t>The Terminus</t>
        </is>
      </c>
      <c r="P15" s="8" t="inlineStr"/>
      <c r="Q15" s="8" t="n">
        <v>1.5</v>
      </c>
      <c r="R15" s="8" t="inlineStr"/>
      <c r="S15" s="8" t="inlineStr"/>
      <c r="T15" s="8" t="inlineStr"/>
      <c r="U15" s="8" t="inlineStr"/>
      <c r="V15" s="8" t="inlineStr"/>
      <c r="W15" s="8" t="inlineStr">
        <is>
          <t>GREEDY_MAX_DAMAGE</t>
        </is>
      </c>
      <c r="X15" s="8" t="n">
        <v>8</v>
      </c>
      <c r="Y15" s="8" t="n">
        <v>0</v>
      </c>
      <c r="Z15" s="8" t="inlineStr"/>
      <c r="AA15" s="8" t="inlineStr">
        <is>
          <t>ENEMY</t>
        </is>
      </c>
      <c r="AB15" s="8" t="n">
        <v>1</v>
      </c>
      <c r="AC15" s="8" t="inlineStr">
        <is>
          <t>The end of Line 1. PURE TYPE on purpose: an Anger-layered player drinks half of this, which is exactly the trade the armor it leaves is offering. It used to mirror that armor exactly - four layers and 430 stamina - which was tidy and much too hard; three layers and a fifth less stamina is the same fight without the wall.</t>
        </is>
      </c>
    </row>
    <row r="16">
      <c r="A16" s="8" t="inlineStr">
        <is>
          <t>boss_sant_antoni</t>
        </is>
      </c>
      <c r="B16" s="8" t="inlineStr">
        <is>
          <t>The Comedown</t>
        </is>
      </c>
      <c r="C16" s="8" t="inlineStr">
        <is>
          <t>SURPRISE</t>
        </is>
      </c>
      <c r="D16" s="8" t="inlineStr">
        <is>
          <t>STRONG</t>
        </is>
      </c>
      <c r="E16" s="8" t="n">
        <v>320</v>
      </c>
      <c r="F16" s="8" t="n">
        <v>0.55</v>
      </c>
      <c r="G16" s="8" t="inlineStr">
        <is>
          <t>SURPRISE|SURPRISE|JOY</t>
        </is>
      </c>
      <c r="H16" s="8" t="inlineStr">
        <is>
          <t>ATK_SURPRISE|HVY_SURPRISE|MID_SURPRISE|STARTLE|GEN_JOY|DEFEND|RECHARGE</t>
        </is>
      </c>
      <c r="I16" s="8" t="n">
        <v>-1</v>
      </c>
      <c r="J16" s="8" t="n">
        <v>4</v>
      </c>
      <c r="K16" s="8" t="n">
        <v>6</v>
      </c>
      <c r="L16" s="8" t="inlineStr"/>
      <c r="M16" s="8" t="inlineStr"/>
      <c r="N16" s="8" t="inlineStr">
        <is>
          <t>CRYSTAL:4:1.0|SEGMENT:4:0.80|ORB:2:0.70</t>
        </is>
      </c>
      <c r="O16" s="8" t="inlineStr">
        <is>
          <t>The Comedown</t>
        </is>
      </c>
      <c r="P16" s="8" t="inlineStr"/>
      <c r="Q16" s="8" t="n">
        <v>1.5</v>
      </c>
      <c r="R16" s="8" t="inlineStr"/>
      <c r="S16" s="8" t="inlineStr"/>
      <c r="T16" s="8" t="inlineStr"/>
      <c r="U16" s="8" t="inlineStr"/>
      <c r="V16" s="8" t="inlineStr"/>
      <c r="W16" s="8" t="inlineStr">
        <is>
          <t>GREEDY_MAX_DAMAGE</t>
        </is>
      </c>
      <c r="X16" s="8" t="n">
        <v>8</v>
      </c>
      <c r="Y16" s="8" t="n">
        <v>0</v>
      </c>
      <c r="Z16" s="8" t="inlineStr"/>
      <c r="AA16" s="8" t="inlineStr">
        <is>
          <t>ENEMY</t>
        </is>
      </c>
      <c r="AB16" s="8" t="n">
        <v>1</v>
      </c>
      <c r="AC16" s="8" t="inlineStr">
        <is>
          <t>Leaves the Set of Rush. Its own pool is what the set is not: volume. The reward for beating a thing that swings six times is one ability that swings once and staggers. The layer it LOST was the innermost Surprise - the JOY one is kept deliberately, because it is the layer a player who came dressed for Surprise cannot drink, and it is the only thing making the queue a puzzle rather than a wall.</t>
        </is>
      </c>
    </row>
    <row r="17">
      <c r="A17" s="8" t="inlineStr">
        <is>
          <t>boss_line_manager</t>
        </is>
      </c>
      <c r="B17" s="8" t="inlineStr">
        <is>
          <t>The Line Manager</t>
        </is>
      </c>
      <c r="C17" s="8" t="inlineStr">
        <is>
          <t>JOY</t>
        </is>
      </c>
      <c r="D17" s="8" t="inlineStr">
        <is>
          <t>STRONG</t>
        </is>
      </c>
      <c r="E17" s="8" t="n">
        <v>520</v>
      </c>
      <c r="F17" s="8" t="n">
        <v>0.6</v>
      </c>
      <c r="G17" s="8" t="inlineStr">
        <is>
          <t>JOY|JOY|JOY|SURPRISE|JOY</t>
        </is>
      </c>
      <c r="H17" s="8" t="inlineStr">
        <is>
          <t>ATK_JOY|HVY_JOY|GEN_JOY|ATK_SURPRISE|STARTLE|DEFEND|RECHARGE</t>
        </is>
      </c>
      <c r="I17" s="8" t="n">
        <v>-1</v>
      </c>
      <c r="J17" s="8" t="n">
        <v>4</v>
      </c>
      <c r="K17" s="8" t="n">
        <v>6</v>
      </c>
      <c r="L17" s="8" t="inlineStr"/>
      <c r="M17" s="8" t="inlineStr"/>
      <c r="N17" s="8" t="inlineStr">
        <is>
          <t>CRYSTAL:5:1.0|SEGMENT:5:0.90|ORB:2:0.80</t>
        </is>
      </c>
      <c r="O17" s="8" t="inlineStr">
        <is>
          <t>The Line Manager</t>
        </is>
      </c>
      <c r="P17" s="8" t="inlineStr">
        <is>
          <t>LINE_MANAGER</t>
        </is>
      </c>
      <c r="Q17" s="8" t="n">
        <v>1.5</v>
      </c>
      <c r="R17" s="8" t="n">
        <v>3</v>
      </c>
      <c r="S17" s="8" t="inlineStr">
        <is>
          <t>PAPARAZZI</t>
        </is>
      </c>
      <c r="T17" s="8" t="inlineStr"/>
      <c r="U17" s="8" t="inlineStr">
        <is>
          <t>audio/line-manager.m4a</t>
        </is>
      </c>
      <c r="V17" s="8" t="inlineStr">
        <is>
          <t>audio/line-manager-phase2.m4a</t>
        </is>
      </c>
      <c r="W17" s="8" t="inlineStr">
        <is>
          <t>GREEDY_MAX_DAMAGE</t>
        </is>
      </c>
      <c r="X17" s="8" t="n">
        <v>8</v>
      </c>
      <c r="Y17" s="8" t="n">
        <v>0</v>
      </c>
      <c r="Z17" s="8" t="inlineStr"/>
      <c r="AA17" s="8" t="inlineStr">
        <is>
          <t>ENEMY</t>
        </is>
      </c>
      <c r="AB17" s="8" t="n">
        <v>1</v>
      </c>
      <c r="AC17" s="8" t="inlineStr">
        <is>
          <t>THE KEY TO LINE 4 IS BEHIND HER. Five layers, nearly all Joy, because she is not defending a position - she is defending a mood, and every hit that is not Joy is someone ruining it. `bg_bright` triples the backdrop tint so her fight is lit like a rooftop rather than a tunnel, `fx` fires the camera flashes, and the two theme columns swap the music out for hers alone.</t>
        </is>
      </c>
    </row>
  </sheetData>
  <mergeCells count="1">
    <mergeCell ref="A1:A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1" customWidth="1" min="3" max="3"/>
    <col width="92" customWidth="1" min="4" max="4"/>
    <col width="10" customWidth="1" min="5" max="5"/>
    <col width="12" customWidth="1" min="6" max="6"/>
    <col width="20" customWidth="1" min="7" max="7"/>
  </cols>
  <sheetData>
    <row r="1">
      <c r="A1" s="4" t="inlineStr">
        <is>
          <t>What each enemy says. states: INTRO (battle start) - WINNING (player drops below 20% MS) - LOSING (this enemy drops below 20% MS) - DEFEAT (this enemy dies). A battle picks one persona at random from the rows matching the enemy's emotion, so the same enemy type speaks differently each run. `tier` narrows that: a WEAK or STRONG enemy uses only the rows carrying its own tier, and everything else uses the rows where tier is BLANK. Blank means ANY tier, not 'no tier'. Give a new persona all four states or it will fall silent at the moment it is missing.</t>
        </is>
      </c>
    </row>
    <row r="3">
      <c r="A3" s="5" t="inlineStr">
        <is>
          <t>emotion</t>
        </is>
      </c>
      <c r="B3" s="5" t="inlineStr">
        <is>
          <t>persona</t>
        </is>
      </c>
      <c r="C3" s="5" t="inlineStr">
        <is>
          <t>state</t>
        </is>
      </c>
      <c r="D3" s="5" t="inlineStr">
        <is>
          <t>line</t>
        </is>
      </c>
      <c r="E3" s="5" t="inlineStr">
        <is>
          <t>tier</t>
        </is>
      </c>
      <c r="F3" s="5" t="inlineStr">
        <is>
          <t>enabled</t>
        </is>
      </c>
      <c r="G3" s="5" t="inlineStr">
        <is>
          <t>notes</t>
        </is>
      </c>
    </row>
    <row r="4">
      <c r="A4" s="6" t="inlineStr">
        <is>
          <t>LIVE</t>
        </is>
      </c>
      <c r="B4" s="6" t="inlineStr">
        <is>
          <t>LIVE</t>
        </is>
      </c>
      <c r="C4" s="6" t="inlineStr">
        <is>
          <t>LIVE</t>
        </is>
      </c>
      <c r="D4" s="6" t="inlineStr">
        <is>
          <t>LIVE</t>
        </is>
      </c>
      <c r="E4" s="6" t="inlineStr">
        <is>
          <t>LIVE</t>
        </is>
      </c>
      <c r="F4" s="7" t="inlineStr">
        <is>
          <t>planned</t>
        </is>
      </c>
      <c r="G4" s="7" t="inlineStr">
        <is>
          <t>planned</t>
        </is>
      </c>
    </row>
    <row r="5">
      <c r="A5" s="8" t="inlineStr">
        <is>
          <t>ANGER</t>
        </is>
      </c>
      <c r="B5" s="8" t="inlineStr">
        <is>
          <t>The Evicted</t>
        </is>
      </c>
      <c r="C5" s="8" t="inlineStr">
        <is>
          <t>INTRO</t>
        </is>
      </c>
      <c r="D5" s="8" t="inlineStr">
        <is>
          <t>Thirty years in this flat and they sell it to a fund! I'LL BURN IT DOWN WITH YOU IN IT!</t>
        </is>
      </c>
      <c r="E5" s="8" t="inlineStr"/>
      <c r="F5" s="8" t="n">
        <v>1</v>
      </c>
      <c r="G5" s="8" t="inlineStr"/>
    </row>
    <row r="6">
      <c r="A6" s="8" t="inlineStr">
        <is>
          <t>ANGER</t>
        </is>
      </c>
      <c r="B6" s="8" t="inlineStr">
        <is>
          <t>The Evicted</t>
        </is>
      </c>
      <c r="C6" s="8" t="inlineStr">
        <is>
          <t>WINNING</t>
        </is>
      </c>
      <c r="D6" s="8" t="inlineStr">
        <is>
          <t>Choke on the ashes! CHOKE ON THEM!</t>
        </is>
      </c>
      <c r="E6" s="8" t="inlineStr"/>
      <c r="F6" s="8" t="n">
        <v>1</v>
      </c>
      <c r="G6" s="8" t="inlineStr"/>
    </row>
    <row r="7">
      <c r="A7" s="8" t="inlineStr">
        <is>
          <t>ANGER</t>
        </is>
      </c>
      <c r="B7" s="8" t="inlineStr">
        <is>
          <t>The Evicted</t>
        </is>
      </c>
      <c r="C7" s="8" t="inlineStr">
        <is>
          <t>LOSING</t>
        </is>
      </c>
      <c r="D7" s="8" t="inlineStr">
        <is>
          <t>No... my things... my life...</t>
        </is>
      </c>
      <c r="E7" s="8" t="inlineStr"/>
      <c r="F7" s="8" t="n">
        <v>1</v>
      </c>
      <c r="G7" s="8" t="inlineStr"/>
    </row>
    <row r="8">
      <c r="A8" s="8" t="inlineStr">
        <is>
          <t>ANGER</t>
        </is>
      </c>
      <c r="B8" s="8" t="inlineStr">
        <is>
          <t>The Evicted</t>
        </is>
      </c>
      <c r="C8" s="8" t="inlineStr">
        <is>
          <t>DEFEAT</t>
        </is>
      </c>
      <c r="D8" s="8" t="inlineStr">
        <is>
          <t>Just let me... lock the door... one last time.</t>
        </is>
      </c>
      <c r="E8" s="8" t="inlineStr"/>
      <c r="F8" s="8" t="n">
        <v>1</v>
      </c>
      <c r="G8" s="8" t="inlineStr"/>
    </row>
    <row r="9">
      <c r="A9" s="8" t="inlineStr">
        <is>
          <t>ANGER</t>
        </is>
      </c>
      <c r="B9" s="8" t="inlineStr">
        <is>
          <t>The Exploited</t>
        </is>
      </c>
      <c r="C9" s="8" t="inlineStr">
        <is>
          <t>INTRO</t>
        </is>
      </c>
      <c r="D9" s="8" t="inlineStr">
        <is>
          <t>Fourteen hours biking in the rain for three euros! I'LL BREAK YOUR FUCKING LEGS!</t>
        </is>
      </c>
      <c r="E9" s="8" t="inlineStr"/>
      <c r="F9" s="8" t="n">
        <v>1</v>
      </c>
      <c r="G9" s="8" t="inlineStr"/>
    </row>
    <row r="10">
      <c r="A10" s="8" t="inlineStr">
        <is>
          <t>ANGER</t>
        </is>
      </c>
      <c r="B10" s="8" t="inlineStr">
        <is>
          <t>The Exploited</t>
        </is>
      </c>
      <c r="C10" s="8" t="inlineStr">
        <is>
          <t>WINNING</t>
        </is>
      </c>
      <c r="D10" s="8" t="inlineStr">
        <is>
          <t>Take your luxury takeout and choke on it!</t>
        </is>
      </c>
      <c r="E10" s="8" t="inlineStr"/>
      <c r="F10" s="8" t="n">
        <v>1</v>
      </c>
      <c r="G10" s="8" t="inlineStr"/>
    </row>
    <row r="11">
      <c r="A11" s="8" t="inlineStr">
        <is>
          <t>ANGER</t>
        </is>
      </c>
      <c r="B11" s="8" t="inlineStr">
        <is>
          <t>The Exploited</t>
        </is>
      </c>
      <c r="C11" s="8" t="inlineStr">
        <is>
          <t>LOSING</t>
        </is>
      </c>
      <c r="D11" s="8" t="inlineStr">
        <is>
          <t>My bike... I can't afford to fix my bike...</t>
        </is>
      </c>
      <c r="E11" s="8" t="inlineStr"/>
      <c r="F11" s="8" t="n">
        <v>1</v>
      </c>
      <c r="G11" s="8" t="inlineStr"/>
    </row>
    <row r="12">
      <c r="A12" s="8" t="inlineStr">
        <is>
          <t>ANGER</t>
        </is>
      </c>
      <c r="B12" s="8" t="inlineStr">
        <is>
          <t>The Exploited</t>
        </is>
      </c>
      <c r="C12" s="8" t="inlineStr">
        <is>
          <t>DEFEAT</t>
        </is>
      </c>
      <c r="D12" s="8" t="inlineStr">
        <is>
          <t>The app... it says I'm deactivated...</t>
        </is>
      </c>
      <c r="E12" s="8" t="inlineStr"/>
      <c r="F12" s="8" t="n">
        <v>1</v>
      </c>
      <c r="G12" s="8" t="inlineStr"/>
    </row>
    <row r="13">
      <c r="A13" s="8" t="inlineStr">
        <is>
          <t>ANGER</t>
        </is>
      </c>
      <c r="B13" s="8" t="inlineStr">
        <is>
          <t>The Betrayed</t>
        </is>
      </c>
      <c r="C13" s="8" t="inlineStr">
        <is>
          <t>INTRO</t>
        </is>
      </c>
      <c r="D13" s="8" t="inlineStr">
        <is>
          <t>You think a text message makes up for six months of lies?! I'LL TEAR YOUR THROAT OUT!</t>
        </is>
      </c>
      <c r="E13" s="8" t="inlineStr"/>
      <c r="F13" s="8" t="n">
        <v>1</v>
      </c>
      <c r="G13" s="8" t="inlineStr"/>
    </row>
    <row r="14">
      <c r="A14" s="8" t="inlineStr">
        <is>
          <t>ANGER</t>
        </is>
      </c>
      <c r="B14" s="8" t="inlineStr">
        <is>
          <t>The Betrayed</t>
        </is>
      </c>
      <c r="C14" s="8" t="inlineStr">
        <is>
          <t>WINNING</t>
        </is>
      </c>
      <c r="D14" s="8" t="inlineStr">
        <is>
          <t>Look at me! Look at me when I'm screaming at you!</t>
        </is>
      </c>
      <c r="E14" s="8" t="inlineStr"/>
      <c r="F14" s="8" t="n">
        <v>1</v>
      </c>
      <c r="G14" s="8" t="inlineStr"/>
    </row>
    <row r="15">
      <c r="A15" s="8" t="inlineStr">
        <is>
          <t>ANGER</t>
        </is>
      </c>
      <c r="B15" s="8" t="inlineStr">
        <is>
          <t>The Betrayed</t>
        </is>
      </c>
      <c r="C15" s="8" t="inlineStr">
        <is>
          <t>LOSING</t>
        </is>
      </c>
      <c r="D15" s="8" t="inlineStr">
        <is>
          <t>Stop deflecting... stop making me the crazy one!</t>
        </is>
      </c>
      <c r="E15" s="8" t="inlineStr"/>
      <c r="F15" s="8" t="n">
        <v>1</v>
      </c>
      <c r="G15" s="8" t="inlineStr"/>
    </row>
    <row r="16">
      <c r="A16" s="8" t="inlineStr">
        <is>
          <t>ANGER</t>
        </is>
      </c>
      <c r="B16" s="8" t="inlineStr">
        <is>
          <t>The Betrayed</t>
        </is>
      </c>
      <c r="C16" s="8" t="inlineStr">
        <is>
          <t>DEFEAT</t>
        </is>
      </c>
      <c r="D16" s="8" t="inlineStr">
        <is>
          <t>I just... wanted the truth.</t>
        </is>
      </c>
      <c r="E16" s="8" t="inlineStr"/>
      <c r="F16" s="8" t="n">
        <v>1</v>
      </c>
      <c r="G16" s="8" t="inlineStr"/>
    </row>
    <row r="17">
      <c r="A17" s="8" t="inlineStr">
        <is>
          <t>ANGER</t>
        </is>
      </c>
      <c r="B17" s="8" t="inlineStr">
        <is>
          <t>The Vandal</t>
        </is>
      </c>
      <c r="C17" s="8" t="inlineStr">
        <is>
          <t>INTRO</t>
        </is>
      </c>
      <c r="D17" s="8" t="inlineStr">
        <is>
          <t>This isn't your playground! Get out of my neighborhood before I smash your skull!</t>
        </is>
      </c>
      <c r="E17" s="8" t="inlineStr"/>
      <c r="F17" s="8" t="n">
        <v>1</v>
      </c>
      <c r="G17" s="8" t="inlineStr"/>
    </row>
    <row r="18">
      <c r="A18" s="8" t="inlineStr">
        <is>
          <t>ANGER</t>
        </is>
      </c>
      <c r="B18" s="8" t="inlineStr">
        <is>
          <t>The Vandal</t>
        </is>
      </c>
      <c r="C18" s="8" t="inlineStr">
        <is>
          <t>WINNING</t>
        </is>
      </c>
      <c r="D18" s="8" t="inlineStr">
        <is>
          <t>Go back to your perfect little life!</t>
        </is>
      </c>
      <c r="E18" s="8" t="inlineStr"/>
      <c r="F18" s="8" t="n">
        <v>1</v>
      </c>
      <c r="G18" s="8" t="inlineStr"/>
    </row>
    <row r="19">
      <c r="A19" s="8" t="inlineStr">
        <is>
          <t>ANGER</t>
        </is>
      </c>
      <c r="B19" s="8" t="inlineStr">
        <is>
          <t>The Vandal</t>
        </is>
      </c>
      <c r="C19" s="8" t="inlineStr">
        <is>
          <t>LOSING</t>
        </is>
      </c>
      <c r="D19" s="8" t="inlineStr">
        <is>
          <t>There are too many of you...</t>
        </is>
      </c>
      <c r="E19" s="8" t="inlineStr"/>
      <c r="F19" s="8" t="n">
        <v>1</v>
      </c>
      <c r="G19" s="8" t="inlineStr"/>
    </row>
    <row r="20">
      <c r="A20" s="8" t="inlineStr">
        <is>
          <t>ANGER</t>
        </is>
      </c>
      <c r="B20" s="8" t="inlineStr">
        <is>
          <t>The Vandal</t>
        </is>
      </c>
      <c r="C20" s="8" t="inlineStr">
        <is>
          <t>DEFEAT</t>
        </is>
      </c>
      <c r="D20" s="8" t="inlineStr">
        <is>
          <t>We're being erased...</t>
        </is>
      </c>
      <c r="E20" s="8" t="inlineStr"/>
      <c r="F20" s="8" t="n">
        <v>1</v>
      </c>
      <c r="G20" s="8" t="inlineStr"/>
    </row>
    <row r="21">
      <c r="A21" s="8" t="inlineStr">
        <is>
          <t>ANGER</t>
        </is>
      </c>
      <c r="B21" s="8" t="inlineStr">
        <is>
          <t>The Denied</t>
        </is>
      </c>
      <c r="C21" s="8" t="inlineStr">
        <is>
          <t>INTRO</t>
        </is>
      </c>
      <c r="D21" s="8" t="inlineStr">
        <is>
          <t>Three years waiting for papers and you stamp DENIED?! I'LL KILL EVERYONE HERE!</t>
        </is>
      </c>
      <c r="E21" s="8" t="inlineStr"/>
      <c r="F21" s="8" t="n">
        <v>1</v>
      </c>
      <c r="G21" s="8" t="inlineStr"/>
    </row>
    <row r="22">
      <c r="A22" s="8" t="inlineStr">
        <is>
          <t>ANGER</t>
        </is>
      </c>
      <c r="B22" s="8" t="inlineStr">
        <is>
          <t>The Denied</t>
        </is>
      </c>
      <c r="C22" s="8" t="inlineStr">
        <is>
          <t>WINNING</t>
        </is>
      </c>
      <c r="D22" s="8" t="inlineStr">
        <is>
          <t>Stamp this! STAMP THIS IN BLOOD!</t>
        </is>
      </c>
      <c r="E22" s="8" t="inlineStr"/>
      <c r="F22" s="8" t="n">
        <v>1</v>
      </c>
      <c r="G22" s="8" t="inlineStr"/>
    </row>
    <row r="23">
      <c r="A23" s="8" t="inlineStr">
        <is>
          <t>ANGER</t>
        </is>
      </c>
      <c r="B23" s="8" t="inlineStr">
        <is>
          <t>The Denied</t>
        </is>
      </c>
      <c r="C23" s="8" t="inlineStr">
        <is>
          <t>LOSING</t>
        </is>
      </c>
      <c r="D23" s="8" t="inlineStr">
        <is>
          <t>Please, you don't understand what they'll do to me...</t>
        </is>
      </c>
      <c r="E23" s="8" t="inlineStr"/>
      <c r="F23" s="8" t="n">
        <v>1</v>
      </c>
      <c r="G23" s="8" t="inlineStr"/>
    </row>
    <row r="24">
      <c r="A24" s="8" t="inlineStr">
        <is>
          <t>ANGER</t>
        </is>
      </c>
      <c r="B24" s="8" t="inlineStr">
        <is>
          <t>The Denied</t>
        </is>
      </c>
      <c r="C24" s="8" t="inlineStr">
        <is>
          <t>DEFEAT</t>
        </is>
      </c>
      <c r="D24" s="8" t="inlineStr">
        <is>
          <t>I don't exist anymore...</t>
        </is>
      </c>
      <c r="E24" s="8" t="inlineStr"/>
      <c r="F24" s="8" t="n">
        <v>1</v>
      </c>
      <c r="G24" s="8" t="inlineStr"/>
    </row>
    <row r="25">
      <c r="A25" s="8" t="inlineStr">
        <is>
          <t>DISGUST</t>
        </is>
      </c>
      <c r="B25" s="8" t="inlineStr">
        <is>
          <t>The Aristocrat</t>
        </is>
      </c>
      <c r="C25" s="8" t="inlineStr">
        <is>
          <t>INTRO</t>
        </is>
      </c>
      <c r="D25" s="8" t="inlineStr">
        <is>
          <t>Look at you, sweating on the metro. Did you even shower before touching my city?</t>
        </is>
      </c>
      <c r="E25" s="8" t="inlineStr"/>
      <c r="F25" s="8" t="n">
        <v>1</v>
      </c>
      <c r="G25" s="8" t="inlineStr"/>
    </row>
    <row r="26">
      <c r="A26" s="8" t="inlineStr">
        <is>
          <t>DISGUST</t>
        </is>
      </c>
      <c r="B26" s="8" t="inlineStr">
        <is>
          <t>The Aristocrat</t>
        </is>
      </c>
      <c r="C26" s="8" t="inlineStr">
        <is>
          <t>WINNING</t>
        </is>
      </c>
      <c r="D26" s="8" t="inlineStr">
        <is>
          <t>Filth always sinks to the bottom. Stay there.</t>
        </is>
      </c>
      <c r="E26" s="8" t="inlineStr"/>
      <c r="F26" s="8" t="n">
        <v>1</v>
      </c>
      <c r="G26" s="8" t="inlineStr"/>
    </row>
    <row r="27">
      <c r="A27" s="8" t="inlineStr">
        <is>
          <t>DISGUST</t>
        </is>
      </c>
      <c r="B27" s="8" t="inlineStr">
        <is>
          <t>The Aristocrat</t>
        </is>
      </c>
      <c r="C27" s="8" t="inlineStr">
        <is>
          <t>LOSING</t>
        </is>
      </c>
      <c r="D27" s="8" t="inlineStr">
        <is>
          <t>Don't touch me with those calloused hands!</t>
        </is>
      </c>
      <c r="E27" s="8" t="inlineStr"/>
      <c r="F27" s="8" t="n">
        <v>1</v>
      </c>
      <c r="G27" s="8" t="inlineStr"/>
    </row>
    <row r="28">
      <c r="A28" s="8" t="inlineStr">
        <is>
          <t>DISGUST</t>
        </is>
      </c>
      <c r="B28" s="8" t="inlineStr">
        <is>
          <t>The Aristocrat</t>
        </is>
      </c>
      <c r="C28" s="8" t="inlineStr">
        <is>
          <t>DEFEAT</t>
        </is>
      </c>
      <c r="D28" s="8" t="inlineStr">
        <is>
          <t>Your smell... it won't wash off...</t>
        </is>
      </c>
      <c r="E28" s="8" t="inlineStr"/>
      <c r="F28" s="8" t="n">
        <v>1</v>
      </c>
      <c r="G28" s="8" t="inlineStr"/>
    </row>
    <row r="29">
      <c r="A29" s="8" t="inlineStr">
        <is>
          <t>DISGUST</t>
        </is>
      </c>
      <c r="B29" s="8" t="inlineStr">
        <is>
          <t>The Apathetic</t>
        </is>
      </c>
      <c r="C29" s="8" t="inlineStr">
        <is>
          <t>INTRO</t>
        </is>
      </c>
      <c r="D29" s="8" t="inlineStr">
        <is>
          <t>Another addict blocking the ATM. Can't you just die somewhere out of sight?</t>
        </is>
      </c>
      <c r="E29" s="8" t="inlineStr"/>
      <c r="F29" s="8" t="n">
        <v>1</v>
      </c>
      <c r="G29" s="8" t="inlineStr"/>
    </row>
    <row r="30">
      <c r="A30" s="8" t="inlineStr">
        <is>
          <t>DISGUST</t>
        </is>
      </c>
      <c r="B30" s="8" t="inlineStr">
        <is>
          <t>The Apathetic</t>
        </is>
      </c>
      <c r="C30" s="8" t="inlineStr">
        <is>
          <t>WINNING</t>
        </is>
      </c>
      <c r="D30" s="8" t="inlineStr">
        <is>
          <t>Scrape yourself off my shoes.</t>
        </is>
      </c>
      <c r="E30" s="8" t="inlineStr"/>
      <c r="F30" s="8" t="n">
        <v>1</v>
      </c>
      <c r="G30" s="8" t="inlineStr"/>
    </row>
    <row r="31">
      <c r="A31" s="8" t="inlineStr">
        <is>
          <t>DISGUST</t>
        </is>
      </c>
      <c r="B31" s="8" t="inlineStr">
        <is>
          <t>The Apathetic</t>
        </is>
      </c>
      <c r="C31" s="8" t="inlineStr">
        <is>
          <t>LOSING</t>
        </is>
      </c>
      <c r="D31" s="8" t="inlineStr">
        <is>
          <t>Don't bleed on my designer coat!</t>
        </is>
      </c>
      <c r="E31" s="8" t="inlineStr"/>
      <c r="F31" s="8" t="n">
        <v>1</v>
      </c>
      <c r="G31" s="8" t="inlineStr"/>
    </row>
    <row r="32">
      <c r="A32" s="8" t="inlineStr">
        <is>
          <t>DISGUST</t>
        </is>
      </c>
      <c r="B32" s="8" t="inlineStr">
        <is>
          <t>The Apathetic</t>
        </is>
      </c>
      <c r="C32" s="8" t="inlineStr">
        <is>
          <t>DEFEAT</t>
        </is>
      </c>
      <c r="D32" s="8" t="inlineStr">
        <is>
          <t>I am... better than this...</t>
        </is>
      </c>
      <c r="E32" s="8" t="inlineStr"/>
      <c r="F32" s="8" t="n">
        <v>1</v>
      </c>
      <c r="G32" s="8" t="inlineStr"/>
    </row>
    <row r="33">
      <c r="A33" s="8" t="inlineStr">
        <is>
          <t>DISGUST</t>
        </is>
      </c>
      <c r="B33" s="8" t="inlineStr">
        <is>
          <t>The Xenophobe</t>
        </is>
      </c>
      <c r="C33" s="8" t="inlineStr">
        <is>
          <t>INTRO</t>
        </is>
      </c>
      <c r="D33" s="8" t="inlineStr">
        <is>
          <t>You come here, take our space, speak your garbage language. You make me sick.</t>
        </is>
      </c>
      <c r="E33" s="8" t="inlineStr"/>
      <c r="F33" s="8" t="n">
        <v>1</v>
      </c>
      <c r="G33" s="8" t="inlineStr"/>
    </row>
    <row r="34">
      <c r="A34" s="8" t="inlineStr">
        <is>
          <t>DISGUST</t>
        </is>
      </c>
      <c r="B34" s="8" t="inlineStr">
        <is>
          <t>The Xenophobe</t>
        </is>
      </c>
      <c r="C34" s="8" t="inlineStr">
        <is>
          <t>WINNING</t>
        </is>
      </c>
      <c r="D34" s="8" t="inlineStr">
        <is>
          <t>Clean it up. That's all you're good for.</t>
        </is>
      </c>
      <c r="E34" s="8" t="inlineStr"/>
      <c r="F34" s="8" t="n">
        <v>1</v>
      </c>
      <c r="G34" s="8" t="inlineStr"/>
    </row>
    <row r="35">
      <c r="A35" s="8" t="inlineStr">
        <is>
          <t>DISGUST</t>
        </is>
      </c>
      <c r="B35" s="8" t="inlineStr">
        <is>
          <t>The Xenophobe</t>
        </is>
      </c>
      <c r="C35" s="8" t="inlineStr">
        <is>
          <t>LOSING</t>
        </is>
      </c>
      <c r="D35" s="8" t="inlineStr">
        <is>
          <t>How dare you speak back to me?!</t>
        </is>
      </c>
      <c r="E35" s="8" t="inlineStr"/>
      <c r="F35" s="8" t="n">
        <v>1</v>
      </c>
      <c r="G35" s="8" t="inlineStr"/>
    </row>
    <row r="36">
      <c r="A36" s="8" t="inlineStr">
        <is>
          <t>DISGUST</t>
        </is>
      </c>
      <c r="B36" s="8" t="inlineStr">
        <is>
          <t>The Xenophobe</t>
        </is>
      </c>
      <c r="C36" s="8" t="inlineStr">
        <is>
          <t>DEFEAT</t>
        </is>
      </c>
      <c r="D36" s="8" t="inlineStr">
        <is>
          <t>This isn't... your home...</t>
        </is>
      </c>
      <c r="E36" s="8" t="inlineStr"/>
      <c r="F36" s="8" t="n">
        <v>1</v>
      </c>
      <c r="G36" s="8" t="inlineStr"/>
    </row>
    <row r="37">
      <c r="A37" s="8" t="inlineStr">
        <is>
          <t>DISGUST</t>
        </is>
      </c>
      <c r="B37" s="8" t="inlineStr">
        <is>
          <t>The Purist</t>
        </is>
      </c>
      <c r="C37" s="8" t="inlineStr">
        <is>
          <t>INTRO</t>
        </is>
      </c>
      <c r="D37" s="8" t="inlineStr">
        <is>
          <t>Plastic faces, fake lips, empty heads. You're a walking infection in this club.</t>
        </is>
      </c>
      <c r="E37" s="8" t="inlineStr"/>
      <c r="F37" s="8" t="n">
        <v>1</v>
      </c>
      <c r="G37" s="8" t="inlineStr"/>
    </row>
    <row r="38">
      <c r="A38" s="8" t="inlineStr">
        <is>
          <t>DISGUST</t>
        </is>
      </c>
      <c r="B38" s="8" t="inlineStr">
        <is>
          <t>The Purist</t>
        </is>
      </c>
      <c r="C38" s="8" t="inlineStr">
        <is>
          <t>WINNING</t>
        </is>
      </c>
      <c r="D38" s="8" t="inlineStr">
        <is>
          <t>Choke on your vanity.</t>
        </is>
      </c>
      <c r="E38" s="8" t="inlineStr"/>
      <c r="F38" s="8" t="n">
        <v>1</v>
      </c>
      <c r="G38" s="8" t="inlineStr"/>
    </row>
    <row r="39">
      <c r="A39" s="8" t="inlineStr">
        <is>
          <t>DISGUST</t>
        </is>
      </c>
      <c r="B39" s="8" t="inlineStr">
        <is>
          <t>The Purist</t>
        </is>
      </c>
      <c r="C39" s="8" t="inlineStr">
        <is>
          <t>LOSING</t>
        </is>
      </c>
      <c r="D39" s="8" t="inlineStr">
        <is>
          <t>Get your cheap perfume away from me.</t>
        </is>
      </c>
      <c r="E39" s="8" t="inlineStr"/>
      <c r="F39" s="8" t="n">
        <v>1</v>
      </c>
      <c r="G39" s="8" t="inlineStr"/>
    </row>
    <row r="40">
      <c r="A40" s="8" t="inlineStr">
        <is>
          <t>DISGUST</t>
        </is>
      </c>
      <c r="B40" s="8" t="inlineStr">
        <is>
          <t>The Purist</t>
        </is>
      </c>
      <c r="C40" s="8" t="inlineStr">
        <is>
          <t>DEFEAT</t>
        </is>
      </c>
      <c r="D40" s="8" t="inlineStr">
        <is>
          <t>It's all so... hollow...</t>
        </is>
      </c>
      <c r="E40" s="8" t="inlineStr"/>
      <c r="F40" s="8" t="n">
        <v>1</v>
      </c>
      <c r="G40" s="8" t="inlineStr"/>
    </row>
    <row r="41">
      <c r="A41" s="8" t="inlineStr">
        <is>
          <t>DISGUST</t>
        </is>
      </c>
      <c r="B41" s="8" t="inlineStr">
        <is>
          <t>The Mirror</t>
        </is>
      </c>
      <c r="C41" s="8" t="inlineStr">
        <is>
          <t>INTRO</t>
        </is>
      </c>
      <c r="D41" s="8" t="inlineStr">
        <is>
          <t>I see the track marks under your sleeves. You're rotting from the inside, just like me.</t>
        </is>
      </c>
      <c r="E41" s="8" t="inlineStr"/>
      <c r="F41" s="8" t="n">
        <v>1</v>
      </c>
      <c r="G41" s="8" t="inlineStr"/>
    </row>
    <row r="42">
      <c r="A42" s="8" t="inlineStr">
        <is>
          <t>DISGUST</t>
        </is>
      </c>
      <c r="B42" s="8" t="inlineStr">
        <is>
          <t>The Mirror</t>
        </is>
      </c>
      <c r="C42" s="8" t="inlineStr">
        <is>
          <t>WINNING</t>
        </is>
      </c>
      <c r="D42" s="8" t="inlineStr">
        <is>
          <t>We belong in the gutter. Accept it.</t>
        </is>
      </c>
      <c r="E42" s="8" t="inlineStr"/>
      <c r="F42" s="8" t="n">
        <v>1</v>
      </c>
      <c r="G42" s="8" t="inlineStr"/>
    </row>
    <row r="43">
      <c r="A43" s="8" t="inlineStr">
        <is>
          <t>DISGUST</t>
        </is>
      </c>
      <c r="B43" s="8" t="inlineStr">
        <is>
          <t>The Mirror</t>
        </is>
      </c>
      <c r="C43" s="8" t="inlineStr">
        <is>
          <t>LOSING</t>
        </is>
      </c>
      <c r="D43" s="8" t="inlineStr">
        <is>
          <t>Don't look at me with pity!</t>
        </is>
      </c>
      <c r="E43" s="8" t="inlineStr"/>
      <c r="F43" s="8" t="n">
        <v>1</v>
      </c>
      <c r="G43" s="8" t="inlineStr"/>
    </row>
    <row r="44">
      <c r="A44" s="8" t="inlineStr">
        <is>
          <t>DISGUST</t>
        </is>
      </c>
      <c r="B44" s="8" t="inlineStr">
        <is>
          <t>The Mirror</t>
        </is>
      </c>
      <c r="C44" s="8" t="inlineStr">
        <is>
          <t>DEFEAT</t>
        </is>
      </c>
      <c r="D44" s="8" t="inlineStr">
        <is>
          <t>Just... one more hit to make it stop...</t>
        </is>
      </c>
      <c r="E44" s="8" t="inlineStr"/>
      <c r="F44" s="8" t="n">
        <v>1</v>
      </c>
      <c r="G44" s="8" t="inlineStr"/>
    </row>
    <row r="45">
      <c r="A45" s="8" t="inlineStr">
        <is>
          <t>SADNESS</t>
        </is>
      </c>
      <c r="B45" s="8" t="inlineStr">
        <is>
          <t>The Left Behind</t>
        </is>
      </c>
      <c r="C45" s="8" t="inlineStr">
        <is>
          <t>INTRO</t>
        </is>
      </c>
      <c r="D45" s="8" t="inlineStr">
        <is>
          <t>No. Dad didn't leave. Dad loves me... Loved me?</t>
        </is>
      </c>
      <c r="E45" s="8" t="inlineStr"/>
      <c r="F45" s="8" t="n">
        <v>1</v>
      </c>
      <c r="G45" s="8" t="inlineStr"/>
    </row>
    <row r="46">
      <c r="A46" s="8" t="inlineStr">
        <is>
          <t>SADNESS</t>
        </is>
      </c>
      <c r="B46" s="8" t="inlineStr">
        <is>
          <t>The Left Behind</t>
        </is>
      </c>
      <c r="C46" s="8" t="inlineStr">
        <is>
          <t>WINNING</t>
        </is>
      </c>
      <c r="D46" s="8" t="inlineStr">
        <is>
          <t>I'll make you stay! Nobody leaves me again!</t>
        </is>
      </c>
      <c r="E46" s="8" t="inlineStr"/>
      <c r="F46" s="8" t="n">
        <v>1</v>
      </c>
      <c r="G46" s="8" t="inlineStr"/>
    </row>
    <row r="47">
      <c r="A47" s="8" t="inlineStr">
        <is>
          <t>SADNESS</t>
        </is>
      </c>
      <c r="B47" s="8" t="inlineStr">
        <is>
          <t>The Left Behind</t>
        </is>
      </c>
      <c r="C47" s="8" t="inlineStr">
        <is>
          <t>LOSING</t>
        </is>
      </c>
      <c r="D47" s="8" t="inlineStr">
        <is>
          <t>Did I do something wrong?</t>
        </is>
      </c>
      <c r="E47" s="8" t="inlineStr"/>
      <c r="F47" s="8" t="n">
        <v>1</v>
      </c>
      <c r="G47" s="8" t="inlineStr"/>
    </row>
    <row r="48">
      <c r="A48" s="8" t="inlineStr">
        <is>
          <t>SADNESS</t>
        </is>
      </c>
      <c r="B48" s="8" t="inlineStr">
        <is>
          <t>The Left Behind</t>
        </is>
      </c>
      <c r="C48" s="8" t="inlineStr">
        <is>
          <t>DEFEAT</t>
        </is>
      </c>
      <c r="D48" s="8" t="inlineStr">
        <is>
          <t>I'll be good... I promise I'll be good...</t>
        </is>
      </c>
      <c r="E48" s="8" t="inlineStr"/>
      <c r="F48" s="8" t="n">
        <v>1</v>
      </c>
      <c r="G48" s="8" t="inlineStr"/>
    </row>
    <row r="49">
      <c r="A49" s="8" t="inlineStr">
        <is>
          <t>SADNESS</t>
        </is>
      </c>
      <c r="B49" s="8" t="inlineStr">
        <is>
          <t>The Isolated</t>
        </is>
      </c>
      <c r="C49" s="8" t="inlineStr">
        <is>
          <t>INTRO</t>
        </is>
      </c>
      <c r="D49" s="8" t="inlineStr">
        <is>
          <t>The hospital called. Nobody came to claim his things. Am I next?</t>
        </is>
      </c>
      <c r="E49" s="8" t="inlineStr"/>
      <c r="F49" s="8" t="n">
        <v>1</v>
      </c>
      <c r="G49" s="8" t="inlineStr"/>
    </row>
    <row r="50">
      <c r="A50" s="8" t="inlineStr">
        <is>
          <t>SADNESS</t>
        </is>
      </c>
      <c r="B50" s="8" t="inlineStr">
        <is>
          <t>The Isolated</t>
        </is>
      </c>
      <c r="C50" s="8" t="inlineStr">
        <is>
          <t>WINNING</t>
        </is>
      </c>
      <c r="D50" s="8" t="inlineStr">
        <is>
          <t>If you stay down... it hurts less. I promise.</t>
        </is>
      </c>
      <c r="E50" s="8" t="inlineStr"/>
      <c r="F50" s="8" t="n">
        <v>1</v>
      </c>
      <c r="G50" s="8" t="inlineStr"/>
    </row>
    <row r="51">
      <c r="A51" s="8" t="inlineStr">
        <is>
          <t>SADNESS</t>
        </is>
      </c>
      <c r="B51" s="8" t="inlineStr">
        <is>
          <t>The Isolated</t>
        </is>
      </c>
      <c r="C51" s="8" t="inlineStr">
        <is>
          <t>LOSING</t>
        </is>
      </c>
      <c r="D51" s="8" t="inlineStr">
        <is>
          <t>Why does everyone walk away?</t>
        </is>
      </c>
      <c r="E51" s="8" t="inlineStr"/>
      <c r="F51" s="8" t="n">
        <v>1</v>
      </c>
      <c r="G51" s="8" t="inlineStr"/>
    </row>
    <row r="52">
      <c r="A52" s="8" t="inlineStr">
        <is>
          <t>SADNESS</t>
        </is>
      </c>
      <c r="B52" s="8" t="inlineStr">
        <is>
          <t>The Isolated</t>
        </is>
      </c>
      <c r="C52" s="8" t="inlineStr">
        <is>
          <t>DEFEAT</t>
        </is>
      </c>
      <c r="D52" s="8" t="inlineStr">
        <is>
          <t>Finally... it's quiet.</t>
        </is>
      </c>
      <c r="E52" s="8" t="inlineStr"/>
      <c r="F52" s="8" t="n">
        <v>1</v>
      </c>
      <c r="G52" s="8" t="inlineStr"/>
    </row>
    <row r="53">
      <c r="A53" s="8" t="inlineStr">
        <is>
          <t>SADNESS</t>
        </is>
      </c>
      <c r="B53" s="8" t="inlineStr">
        <is>
          <t>The Erased</t>
        </is>
      </c>
      <c r="C53" s="8" t="inlineStr">
        <is>
          <t>INTRO</t>
        </is>
      </c>
      <c r="D53" s="8" t="inlineStr">
        <is>
          <t>My grandfather built this bar. Now it's a fucking brunch spot... I have nothing.</t>
        </is>
      </c>
      <c r="E53" s="8" t="inlineStr"/>
      <c r="F53" s="8" t="n">
        <v>1</v>
      </c>
      <c r="G53" s="8" t="inlineStr"/>
    </row>
    <row r="54">
      <c r="A54" s="8" t="inlineStr">
        <is>
          <t>SADNESS</t>
        </is>
      </c>
      <c r="B54" s="8" t="inlineStr">
        <is>
          <t>The Erased</t>
        </is>
      </c>
      <c r="C54" s="8" t="inlineStr">
        <is>
          <t>WINNING</t>
        </is>
      </c>
      <c r="D54" s="8" t="inlineStr">
        <is>
          <t>Drink the bitterness. It's all we have left.</t>
        </is>
      </c>
      <c r="E54" s="8" t="inlineStr"/>
      <c r="F54" s="8" t="n">
        <v>1</v>
      </c>
      <c r="G54" s="8" t="inlineStr"/>
    </row>
    <row r="55">
      <c r="A55" s="8" t="inlineStr">
        <is>
          <t>SADNESS</t>
        </is>
      </c>
      <c r="B55" s="8" t="inlineStr">
        <is>
          <t>The Erased</t>
        </is>
      </c>
      <c r="C55" s="8" t="inlineStr">
        <is>
          <t>LOSING</t>
        </is>
      </c>
      <c r="D55" s="8" t="inlineStr">
        <is>
          <t>They're painting over the mural...</t>
        </is>
      </c>
      <c r="E55" s="8" t="inlineStr"/>
      <c r="F55" s="8" t="n">
        <v>1</v>
      </c>
      <c r="G55" s="8" t="inlineStr"/>
    </row>
    <row r="56">
      <c r="A56" s="8" t="inlineStr">
        <is>
          <t>SADNESS</t>
        </is>
      </c>
      <c r="B56" s="8" t="inlineStr">
        <is>
          <t>The Erased</t>
        </is>
      </c>
      <c r="C56" s="8" t="inlineStr">
        <is>
          <t>DEFEAT</t>
        </is>
      </c>
      <c r="D56" s="8" t="inlineStr">
        <is>
          <t>I don't recognize my own street.</t>
        </is>
      </c>
      <c r="E56" s="8" t="inlineStr"/>
      <c r="F56" s="8" t="n">
        <v>1</v>
      </c>
      <c r="G56" s="8" t="inlineStr"/>
    </row>
    <row r="57">
      <c r="A57" s="8" t="inlineStr">
        <is>
          <t>SADNESS</t>
        </is>
      </c>
      <c r="B57" s="8" t="inlineStr">
        <is>
          <t>The Grieving</t>
        </is>
      </c>
      <c r="C57" s="8" t="inlineStr">
        <is>
          <t>INTRO</t>
        </is>
      </c>
      <c r="D57" s="8" t="inlineStr">
        <is>
          <t>The sea was supposed to be calm... they promised it was safe to cross...</t>
        </is>
      </c>
      <c r="E57" s="8" t="inlineStr"/>
      <c r="F57" s="8" t="n">
        <v>1</v>
      </c>
      <c r="G57" s="8" t="inlineStr"/>
    </row>
    <row r="58">
      <c r="A58" s="8" t="inlineStr">
        <is>
          <t>SADNESS</t>
        </is>
      </c>
      <c r="B58" s="8" t="inlineStr">
        <is>
          <t>The Grieving</t>
        </is>
      </c>
      <c r="C58" s="8" t="inlineStr">
        <is>
          <t>WINNING</t>
        </is>
      </c>
      <c r="D58" s="8" t="inlineStr">
        <is>
          <t>Drown with me! Drown with my memories!</t>
        </is>
      </c>
      <c r="E58" s="8" t="inlineStr"/>
      <c r="F58" s="8" t="n">
        <v>1</v>
      </c>
      <c r="G58" s="8" t="inlineStr"/>
    </row>
    <row r="59">
      <c r="A59" s="8" t="inlineStr">
        <is>
          <t>SADNESS</t>
        </is>
      </c>
      <c r="B59" s="8" t="inlineStr">
        <is>
          <t>The Grieving</t>
        </is>
      </c>
      <c r="C59" s="8" t="inlineStr">
        <is>
          <t>LOSING</t>
        </is>
      </c>
      <c r="D59" s="8" t="inlineStr">
        <is>
          <t>I can't hold on to the raft...</t>
        </is>
      </c>
      <c r="E59" s="8" t="inlineStr"/>
      <c r="F59" s="8" t="n">
        <v>1</v>
      </c>
      <c r="G59" s="8" t="inlineStr"/>
    </row>
    <row r="60">
      <c r="A60" s="8" t="inlineStr">
        <is>
          <t>SADNESS</t>
        </is>
      </c>
      <c r="B60" s="8" t="inlineStr">
        <is>
          <t>The Grieving</t>
        </is>
      </c>
      <c r="C60" s="8" t="inlineStr">
        <is>
          <t>DEFEAT</t>
        </is>
      </c>
      <c r="D60" s="8" t="inlineStr">
        <is>
          <t>The water is so cold...</t>
        </is>
      </c>
      <c r="E60" s="8" t="inlineStr"/>
      <c r="F60" s="8" t="n">
        <v>1</v>
      </c>
      <c r="G60" s="8" t="inlineStr"/>
    </row>
    <row r="61">
      <c r="A61" s="8" t="inlineStr">
        <is>
          <t>SADNESS</t>
        </is>
      </c>
      <c r="B61" s="8" t="inlineStr">
        <is>
          <t>The Broken Dream</t>
        </is>
      </c>
      <c r="C61" s="8" t="inlineStr">
        <is>
          <t>INTRO</t>
        </is>
      </c>
      <c r="D61" s="8" t="inlineStr">
        <is>
          <t>Ten years playing in the metro... nobody even looks up anymore.</t>
        </is>
      </c>
      <c r="E61" s="8" t="inlineStr"/>
      <c r="F61" s="8" t="n">
        <v>1</v>
      </c>
      <c r="G61" s="8" t="inlineStr"/>
    </row>
    <row r="62">
      <c r="A62" s="8" t="inlineStr">
        <is>
          <t>SADNESS</t>
        </is>
      </c>
      <c r="B62" s="8" t="inlineStr">
        <is>
          <t>The Broken Dream</t>
        </is>
      </c>
      <c r="C62" s="8" t="inlineStr">
        <is>
          <t>WINNING</t>
        </is>
      </c>
      <c r="D62" s="8" t="inlineStr">
        <is>
          <t>LISTEN TO ME! FOR ONCE IN YOUR LIFE!</t>
        </is>
      </c>
      <c r="E62" s="8" t="inlineStr"/>
      <c r="F62" s="8" t="n">
        <v>1</v>
      </c>
      <c r="G62" s="8" t="inlineStr"/>
    </row>
    <row r="63">
      <c r="A63" s="8" t="inlineStr">
        <is>
          <t>SADNESS</t>
        </is>
      </c>
      <c r="B63" s="8" t="inlineStr">
        <is>
          <t>The Broken Dream</t>
        </is>
      </c>
      <c r="C63" s="8" t="inlineStr">
        <is>
          <t>LOSING</t>
        </is>
      </c>
      <c r="D63" s="8" t="inlineStr">
        <is>
          <t>My strings are snapping...</t>
        </is>
      </c>
      <c r="E63" s="8" t="inlineStr"/>
      <c r="F63" s="8" t="n">
        <v>1</v>
      </c>
      <c r="G63" s="8" t="inlineStr"/>
    </row>
    <row r="64">
      <c r="A64" s="8" t="inlineStr">
        <is>
          <t>SADNESS</t>
        </is>
      </c>
      <c r="B64" s="8" t="inlineStr">
        <is>
          <t>The Broken Dream</t>
        </is>
      </c>
      <c r="C64" s="8" t="inlineStr">
        <is>
          <t>DEFEAT</t>
        </is>
      </c>
      <c r="D64" s="8" t="inlineStr">
        <is>
          <t>Silence... just like always.</t>
        </is>
      </c>
      <c r="E64" s="8" t="inlineStr"/>
      <c r="F64" s="8" t="n">
        <v>1</v>
      </c>
      <c r="G64" s="8" t="inlineStr"/>
    </row>
    <row r="65">
      <c r="A65" s="8" t="inlineStr">
        <is>
          <t>FEAR</t>
        </is>
      </c>
      <c r="B65" s="8" t="inlineStr">
        <is>
          <t>The Hunted</t>
        </is>
      </c>
      <c r="C65" s="8" t="inlineStr">
        <is>
          <t>INTRO</t>
        </is>
      </c>
      <c r="D65" s="8" t="inlineStr">
        <is>
          <t>Shhhh shhhhhhhhh! Those transphobes behind the corner, they'll notice us, move back slowly... oh no OH NO</t>
        </is>
      </c>
      <c r="E65" s="8" t="inlineStr"/>
      <c r="F65" s="8" t="n">
        <v>1</v>
      </c>
      <c r="G65" s="8" t="inlineStr"/>
    </row>
    <row r="66">
      <c r="A66" s="8" t="inlineStr">
        <is>
          <t>FEAR</t>
        </is>
      </c>
      <c r="B66" s="8" t="inlineStr">
        <is>
          <t>The Hunted</t>
        </is>
      </c>
      <c r="C66" s="8" t="inlineStr">
        <is>
          <t>WINNING</t>
        </is>
      </c>
      <c r="D66" s="8" t="inlineStr">
        <is>
          <t>STAY BACK! I HAVE A KNIFE!</t>
        </is>
      </c>
      <c r="E66" s="8" t="inlineStr"/>
      <c r="F66" s="8" t="n">
        <v>1</v>
      </c>
      <c r="G66" s="8" t="inlineStr"/>
    </row>
    <row r="67">
      <c r="A67" s="8" t="inlineStr">
        <is>
          <t>FEAR</t>
        </is>
      </c>
      <c r="B67" s="8" t="inlineStr">
        <is>
          <t>The Hunted</t>
        </is>
      </c>
      <c r="C67" s="8" t="inlineStr">
        <is>
          <t>LOSING</t>
        </is>
      </c>
      <c r="D67" s="8" t="inlineStr">
        <is>
          <t>Please, I just want to walk home...</t>
        </is>
      </c>
      <c r="E67" s="8" t="inlineStr"/>
      <c r="F67" s="8" t="n">
        <v>1</v>
      </c>
      <c r="G67" s="8" t="inlineStr"/>
    </row>
    <row r="68">
      <c r="A68" s="8" t="inlineStr">
        <is>
          <t>FEAR</t>
        </is>
      </c>
      <c r="B68" s="8" t="inlineStr">
        <is>
          <t>The Hunted</t>
        </is>
      </c>
      <c r="C68" s="8" t="inlineStr">
        <is>
          <t>DEFEAT</t>
        </is>
      </c>
      <c r="D68" s="8" t="inlineStr">
        <is>
          <t>Not again... please not again...</t>
        </is>
      </c>
      <c r="E68" s="8" t="inlineStr"/>
      <c r="F68" s="8" t="n">
        <v>1</v>
      </c>
      <c r="G68" s="8" t="inlineStr"/>
    </row>
    <row r="69">
      <c r="A69" s="8" t="inlineStr">
        <is>
          <t>FEAR</t>
        </is>
      </c>
      <c r="B69" s="8" t="inlineStr">
        <is>
          <t>The Paranoid</t>
        </is>
      </c>
      <c r="C69" s="8" t="inlineStr">
        <is>
          <t>INTRO</t>
        </is>
      </c>
      <c r="D69" s="8" t="inlineStr">
        <is>
          <t>The cameras on the streetlights—they track our heartbeats. Don't let them see you panic!</t>
        </is>
      </c>
      <c r="E69" s="8" t="inlineStr"/>
      <c r="F69" s="8" t="n">
        <v>1</v>
      </c>
      <c r="G69" s="8" t="inlineStr"/>
    </row>
    <row r="70">
      <c r="A70" s="8" t="inlineStr">
        <is>
          <t>FEAR</t>
        </is>
      </c>
      <c r="B70" s="8" t="inlineStr">
        <is>
          <t>The Paranoid</t>
        </is>
      </c>
      <c r="C70" s="8" t="inlineStr">
        <is>
          <t>WINNING</t>
        </is>
      </c>
      <c r="D70" s="8" t="inlineStr">
        <is>
          <t>I'll blind them! I'LL BLIND THE WHOLE CITY!</t>
        </is>
      </c>
      <c r="E70" s="8" t="inlineStr"/>
      <c r="F70" s="8" t="n">
        <v>1</v>
      </c>
      <c r="G70" s="8" t="inlineStr"/>
    </row>
    <row r="71">
      <c r="A71" s="8" t="inlineStr">
        <is>
          <t>FEAR</t>
        </is>
      </c>
      <c r="B71" s="8" t="inlineStr">
        <is>
          <t>The Paranoid</t>
        </is>
      </c>
      <c r="C71" s="8" t="inlineStr">
        <is>
          <t>LOSING</t>
        </is>
      </c>
      <c r="D71" s="8" t="inlineStr">
        <is>
          <t>They're zooming in... they know my name...</t>
        </is>
      </c>
      <c r="E71" s="8" t="inlineStr"/>
      <c r="F71" s="8" t="n">
        <v>1</v>
      </c>
      <c r="G71" s="8" t="inlineStr"/>
    </row>
    <row r="72">
      <c r="A72" s="8" t="inlineStr">
        <is>
          <t>FEAR</t>
        </is>
      </c>
      <c r="B72" s="8" t="inlineStr">
        <is>
          <t>The Paranoid</t>
        </is>
      </c>
      <c r="C72" s="8" t="inlineStr">
        <is>
          <t>DEFEAT</t>
        </is>
      </c>
      <c r="D72" s="8" t="inlineStr">
        <is>
          <t>Erase my... search history...</t>
        </is>
      </c>
      <c r="E72" s="8" t="inlineStr"/>
      <c r="F72" s="8" t="n">
        <v>1</v>
      </c>
      <c r="G72" s="8" t="inlineStr"/>
    </row>
    <row r="73">
      <c r="A73" s="8" t="inlineStr">
        <is>
          <t>FEAR</t>
        </is>
      </c>
      <c r="B73" s="8" t="inlineStr">
        <is>
          <t>The Debt-Ridden</t>
        </is>
      </c>
      <c r="C73" s="8" t="inlineStr">
        <is>
          <t>INTRO</t>
        </is>
      </c>
      <c r="D73" s="8" t="inlineStr">
        <is>
          <t>I have the money, I swear! Just give me till Friday!</t>
        </is>
      </c>
      <c r="E73" s="8" t="inlineStr"/>
      <c r="F73" s="8" t="n">
        <v>1</v>
      </c>
      <c r="G73" s="8" t="inlineStr"/>
    </row>
    <row r="74">
      <c r="A74" s="8" t="inlineStr">
        <is>
          <t>FEAR</t>
        </is>
      </c>
      <c r="B74" s="8" t="inlineStr">
        <is>
          <t>The Debt-Ridden</t>
        </is>
      </c>
      <c r="C74" s="8" t="inlineStr">
        <is>
          <t>WINNING</t>
        </is>
      </c>
      <c r="D74" s="8" t="inlineStr">
        <is>
          <t>I'll take yours! I'll pay them with your blood!</t>
        </is>
      </c>
      <c r="E74" s="8" t="inlineStr"/>
      <c r="F74" s="8" t="n">
        <v>1</v>
      </c>
      <c r="G74" s="8" t="inlineStr"/>
    </row>
    <row r="75">
      <c r="A75" s="8" t="inlineStr">
        <is>
          <t>FEAR</t>
        </is>
      </c>
      <c r="B75" s="8" t="inlineStr">
        <is>
          <t>The Debt-Ridden</t>
        </is>
      </c>
      <c r="C75" s="8" t="inlineStr">
        <is>
          <t>LOSING</t>
        </is>
      </c>
      <c r="D75" s="8" t="inlineStr">
        <is>
          <t>They're going to break my hands...</t>
        </is>
      </c>
      <c r="E75" s="8" t="inlineStr"/>
      <c r="F75" s="8" t="n">
        <v>1</v>
      </c>
      <c r="G75" s="8" t="inlineStr"/>
    </row>
    <row r="76">
      <c r="A76" s="8" t="inlineStr">
        <is>
          <t>FEAR</t>
        </is>
      </c>
      <c r="B76" s="8" t="inlineStr">
        <is>
          <t>The Debt-Ridden</t>
        </is>
      </c>
      <c r="C76" s="8" t="inlineStr">
        <is>
          <t>DEFEAT</t>
        </is>
      </c>
      <c r="D76" s="8" t="inlineStr">
        <is>
          <t>Tell my mother... I'm sorry...</t>
        </is>
      </c>
      <c r="E76" s="8" t="inlineStr"/>
      <c r="F76" s="8" t="n">
        <v>1</v>
      </c>
      <c r="G76" s="8" t="inlineStr"/>
    </row>
    <row r="77">
      <c r="A77" s="8" t="inlineStr">
        <is>
          <t>FEAR</t>
        </is>
      </c>
      <c r="B77" s="8" t="inlineStr">
        <is>
          <t>The Trapped</t>
        </is>
      </c>
      <c r="C77" s="8" t="inlineStr">
        <is>
          <t>INTRO</t>
        </is>
      </c>
      <c r="D77" s="8" t="inlineStr">
        <is>
          <t>He said he wouldn't hit me again if I just stayed quiet...</t>
        </is>
      </c>
      <c r="E77" s="8" t="inlineStr"/>
      <c r="F77" s="8" t="n">
        <v>1</v>
      </c>
      <c r="G77" s="8" t="inlineStr"/>
    </row>
    <row r="78">
      <c r="A78" s="8" t="inlineStr">
        <is>
          <t>FEAR</t>
        </is>
      </c>
      <c r="B78" s="8" t="inlineStr">
        <is>
          <t>The Trapped</t>
        </is>
      </c>
      <c r="C78" s="8" t="inlineStr">
        <is>
          <t>WINNING</t>
        </is>
      </c>
      <c r="D78" s="8" t="inlineStr">
        <is>
          <t>Don't make him angry! Just do what he says!</t>
        </is>
      </c>
      <c r="E78" s="8" t="inlineStr"/>
      <c r="F78" s="8" t="n">
        <v>1</v>
      </c>
      <c r="G78" s="8" t="inlineStr"/>
    </row>
    <row r="79">
      <c r="A79" s="8" t="inlineStr">
        <is>
          <t>FEAR</t>
        </is>
      </c>
      <c r="B79" s="8" t="inlineStr">
        <is>
          <t>The Trapped</t>
        </is>
      </c>
      <c r="C79" s="8" t="inlineStr">
        <is>
          <t>LOSING</t>
        </is>
      </c>
      <c r="D79" s="8" t="inlineStr">
        <is>
          <t>He's coming up the stairs... I can hear his keys...</t>
        </is>
      </c>
      <c r="E79" s="8" t="inlineStr"/>
      <c r="F79" s="8" t="n">
        <v>1</v>
      </c>
      <c r="G79" s="8" t="inlineStr"/>
    </row>
    <row r="80">
      <c r="A80" s="8" t="inlineStr">
        <is>
          <t>FEAR</t>
        </is>
      </c>
      <c r="B80" s="8" t="inlineStr">
        <is>
          <t>The Trapped</t>
        </is>
      </c>
      <c r="C80" s="8" t="inlineStr">
        <is>
          <t>DEFEAT</t>
        </is>
      </c>
      <c r="D80" s="8" t="inlineStr">
        <is>
          <t>It was always going to end like this...</t>
        </is>
      </c>
      <c r="E80" s="8" t="inlineStr"/>
      <c r="F80" s="8" t="n">
        <v>1</v>
      </c>
      <c r="G80" s="8" t="inlineStr"/>
    </row>
    <row r="81">
      <c r="A81" s="8" t="inlineStr">
        <is>
          <t>FEAR</t>
        </is>
      </c>
      <c r="B81" s="8" t="inlineStr">
        <is>
          <t>The Night-Walker</t>
        </is>
      </c>
      <c r="C81" s="8" t="inlineStr">
        <is>
          <t>INTRO</t>
        </is>
      </c>
      <c r="D81" s="8" t="inlineStr">
        <is>
          <t>Footsteps. Stop. Footsteps. Why are they matching my pace?</t>
        </is>
      </c>
      <c r="E81" s="8" t="inlineStr"/>
      <c r="F81" s="8" t="n">
        <v>1</v>
      </c>
      <c r="G81" s="8" t="inlineStr"/>
    </row>
    <row r="82">
      <c r="A82" s="8" t="inlineStr">
        <is>
          <t>FEAR</t>
        </is>
      </c>
      <c r="B82" s="8" t="inlineStr">
        <is>
          <t>The Night-Walker</t>
        </is>
      </c>
      <c r="C82" s="8" t="inlineStr">
        <is>
          <t>WINNING</t>
        </is>
      </c>
      <c r="D82" s="8" t="inlineStr">
        <is>
          <t>I'll run! You can't catch me in the dark!</t>
        </is>
      </c>
      <c r="E82" s="8" t="inlineStr"/>
      <c r="F82" s="8" t="n">
        <v>1</v>
      </c>
      <c r="G82" s="8" t="inlineStr"/>
    </row>
    <row r="83">
      <c r="A83" s="8" t="inlineStr">
        <is>
          <t>FEAR</t>
        </is>
      </c>
      <c r="B83" s="8" t="inlineStr">
        <is>
          <t>The Night-Walker</t>
        </is>
      </c>
      <c r="C83" s="8" t="inlineStr">
        <is>
          <t>LOSING</t>
        </is>
      </c>
      <c r="D83" s="8" t="inlineStr">
        <is>
          <t>The streetlights are all broken here...</t>
        </is>
      </c>
      <c r="E83" s="8" t="inlineStr"/>
      <c r="F83" s="8" t="n">
        <v>1</v>
      </c>
      <c r="G83" s="8" t="inlineStr"/>
    </row>
    <row r="84">
      <c r="A84" s="8" t="inlineStr">
        <is>
          <t>FEAR</t>
        </is>
      </c>
      <c r="B84" s="8" t="inlineStr">
        <is>
          <t>The Night-Walker</t>
        </is>
      </c>
      <c r="C84" s="8" t="inlineStr">
        <is>
          <t>DEFEAT</t>
        </is>
      </c>
      <c r="D84" s="8" t="inlineStr">
        <is>
          <t>Nobody can hear me scream...</t>
        </is>
      </c>
      <c r="E84" s="8" t="inlineStr"/>
      <c r="F84" s="8" t="n">
        <v>1</v>
      </c>
      <c r="G84" s="8" t="inlineStr"/>
    </row>
    <row r="85">
      <c r="A85" s="8" t="inlineStr">
        <is>
          <t>JOY</t>
        </is>
      </c>
      <c r="B85" s="8" t="inlineStr">
        <is>
          <t>The Delusional</t>
        </is>
      </c>
      <c r="C85" s="8" t="inlineStr">
        <is>
          <t>INTRO</t>
        </is>
      </c>
      <c r="D85" s="8" t="inlineStr">
        <is>
          <t>Life is MINE and this street is MY world to strut by and BLIND YOU WITH MY LIGHT</t>
        </is>
      </c>
      <c r="E85" s="8" t="inlineStr"/>
      <c r="F85" s="8" t="n">
        <v>1</v>
      </c>
      <c r="G85" s="8" t="inlineStr"/>
    </row>
    <row r="86">
      <c r="A86" s="8" t="inlineStr">
        <is>
          <t>JOY</t>
        </is>
      </c>
      <c r="B86" s="8" t="inlineStr">
        <is>
          <t>The Delusional</t>
        </is>
      </c>
      <c r="C86" s="8" t="inlineStr">
        <is>
          <t>WINNING</t>
        </is>
      </c>
      <c r="D86" s="8" t="inlineStr">
        <is>
          <t>Bask in my glory! I am untouched by sorrow!</t>
        </is>
      </c>
      <c r="E86" s="8" t="inlineStr"/>
      <c r="F86" s="8" t="n">
        <v>1</v>
      </c>
      <c r="G86" s="8" t="inlineStr"/>
    </row>
    <row r="87">
      <c r="A87" s="8" t="inlineStr">
        <is>
          <t>JOY</t>
        </is>
      </c>
      <c r="B87" s="8" t="inlineStr">
        <is>
          <t>The Delusional</t>
        </is>
      </c>
      <c r="C87" s="8" t="inlineStr">
        <is>
          <t>LOSING</t>
        </is>
      </c>
      <c r="D87" s="8" t="inlineStr">
        <is>
          <t>Wait... why is everyone looking at me like that?</t>
        </is>
      </c>
      <c r="E87" s="8" t="inlineStr"/>
      <c r="F87" s="8" t="n">
        <v>1</v>
      </c>
      <c r="G87" s="8" t="inlineStr"/>
    </row>
    <row r="88">
      <c r="A88" s="8" t="inlineStr">
        <is>
          <t>JOY</t>
        </is>
      </c>
      <c r="B88" s="8" t="inlineStr">
        <is>
          <t>The Delusional</t>
        </is>
      </c>
      <c r="C88" s="8" t="inlineStr">
        <is>
          <t>DEFEAT</t>
        </is>
      </c>
      <c r="D88" s="8" t="inlineStr">
        <is>
          <t>The spotlight... it's fading...</t>
        </is>
      </c>
      <c r="E88" s="8" t="inlineStr"/>
      <c r="F88" s="8" t="n">
        <v>1</v>
      </c>
      <c r="G88" s="8" t="inlineStr"/>
    </row>
    <row r="89">
      <c r="A89" s="8" t="inlineStr">
        <is>
          <t>JOY</t>
        </is>
      </c>
      <c r="B89" s="8" t="inlineStr">
        <is>
          <t>The Substance Abuser</t>
        </is>
      </c>
      <c r="C89" s="8" t="inlineStr">
        <is>
          <t>INTRO</t>
        </is>
      </c>
      <c r="D89" s="8" t="inlineStr">
        <is>
          <t>Another pill, another party! The sun never sets in Raval if your eyes are wide enough!</t>
        </is>
      </c>
      <c r="E89" s="8" t="inlineStr"/>
      <c r="F89" s="8" t="n">
        <v>1</v>
      </c>
      <c r="G89" s="8" t="inlineStr"/>
    </row>
    <row r="90">
      <c r="A90" s="8" t="inlineStr">
        <is>
          <t>JOY</t>
        </is>
      </c>
      <c r="B90" s="8" t="inlineStr">
        <is>
          <t>The Substance Abuser</t>
        </is>
      </c>
      <c r="C90" s="8" t="inlineStr">
        <is>
          <t>WINNING</t>
        </is>
      </c>
      <c r="D90" s="8" t="inlineStr">
        <is>
          <t>DANCE WITH ME! WHY AREN'T YOU DANCING?!</t>
        </is>
      </c>
      <c r="E90" s="8" t="inlineStr"/>
      <c r="F90" s="8" t="n">
        <v>1</v>
      </c>
      <c r="G90" s="8" t="inlineStr"/>
    </row>
    <row r="91">
      <c r="A91" s="8" t="inlineStr">
        <is>
          <t>JOY</t>
        </is>
      </c>
      <c r="B91" s="8" t="inlineStr">
        <is>
          <t>The Substance Abuser</t>
        </is>
      </c>
      <c r="C91" s="8" t="inlineStr">
        <is>
          <t>LOSING</t>
        </is>
      </c>
      <c r="D91" s="8" t="inlineStr">
        <is>
          <t>No, no, the comedown... I can't feel my teeth...</t>
        </is>
      </c>
      <c r="E91" s="8" t="inlineStr"/>
      <c r="F91" s="8" t="n">
        <v>1</v>
      </c>
      <c r="G91" s="8" t="inlineStr"/>
    </row>
    <row r="92">
      <c r="A92" s="8" t="inlineStr">
        <is>
          <t>JOY</t>
        </is>
      </c>
      <c r="B92" s="8" t="inlineStr">
        <is>
          <t>The Substance Abuser</t>
        </is>
      </c>
      <c r="C92" s="8" t="inlineStr">
        <is>
          <t>DEFEAT</t>
        </is>
      </c>
      <c r="D92" s="8" t="inlineStr">
        <is>
          <t>It's so dark... where did the music go?</t>
        </is>
      </c>
      <c r="E92" s="8" t="inlineStr"/>
      <c r="F92" s="8" t="n">
        <v>1</v>
      </c>
      <c r="G92" s="8" t="inlineStr"/>
    </row>
    <row r="93">
      <c r="A93" s="8" t="inlineStr">
        <is>
          <t>JOY</t>
        </is>
      </c>
      <c r="B93" s="8" t="inlineStr">
        <is>
          <t>The Cultist</t>
        </is>
      </c>
      <c r="C93" s="8" t="inlineStr">
        <is>
          <t>INTRO</t>
        </is>
      </c>
      <c r="D93" s="8" t="inlineStr">
        <is>
          <t>We are all just vibrations! I have transcended this fleshy prison!</t>
        </is>
      </c>
      <c r="E93" s="8" t="inlineStr"/>
      <c r="F93" s="8" t="n">
        <v>1</v>
      </c>
      <c r="G93" s="8" t="inlineStr"/>
    </row>
    <row r="94">
      <c r="A94" s="8" t="inlineStr">
        <is>
          <t>JOY</t>
        </is>
      </c>
      <c r="B94" s="8" t="inlineStr">
        <is>
          <t>The Cultist</t>
        </is>
      </c>
      <c r="C94" s="8" t="inlineStr">
        <is>
          <t>WINNING</t>
        </is>
      </c>
      <c r="D94" s="8" t="inlineStr">
        <is>
          <t>Let me cleanse your aura... WITH FIRE!</t>
        </is>
      </c>
      <c r="E94" s="8" t="inlineStr"/>
      <c r="F94" s="8" t="n">
        <v>1</v>
      </c>
      <c r="G94" s="8" t="inlineStr"/>
    </row>
    <row r="95">
      <c r="A95" s="8" t="inlineStr">
        <is>
          <t>JOY</t>
        </is>
      </c>
      <c r="B95" s="8" t="inlineStr">
        <is>
          <t>The Cultist</t>
        </is>
      </c>
      <c r="C95" s="8" t="inlineStr">
        <is>
          <t>LOSING</t>
        </is>
      </c>
      <c r="D95" s="8" t="inlineStr">
        <is>
          <t>My chakras... they are bleeding...</t>
        </is>
      </c>
      <c r="E95" s="8" t="inlineStr"/>
      <c r="F95" s="8" t="n">
        <v>1</v>
      </c>
      <c r="G95" s="8" t="inlineStr"/>
    </row>
    <row r="96">
      <c r="A96" s="8" t="inlineStr">
        <is>
          <t>JOY</t>
        </is>
      </c>
      <c r="B96" s="8" t="inlineStr">
        <is>
          <t>The Cultist</t>
        </is>
      </c>
      <c r="C96" s="8" t="inlineStr">
        <is>
          <t>DEFEAT</t>
        </is>
      </c>
      <c r="D96" s="8" t="inlineStr">
        <is>
          <t>The universe... lied to me...</t>
        </is>
      </c>
      <c r="E96" s="8" t="inlineStr"/>
      <c r="F96" s="8" t="n">
        <v>1</v>
      </c>
      <c r="G96" s="8" t="inlineStr"/>
    </row>
    <row r="97">
      <c r="A97" s="8" t="inlineStr">
        <is>
          <t>JOY</t>
        </is>
      </c>
      <c r="B97" s="8" t="inlineStr">
        <is>
          <t>The Influencer</t>
        </is>
      </c>
      <c r="C97" s="8" t="inlineStr">
        <is>
          <t>INTRO</t>
        </is>
      </c>
      <c r="D97" s="8" t="inlineStr">
        <is>
          <t>A million followers, baby! Look at this view, look at this life!</t>
        </is>
      </c>
      <c r="E97" s="8" t="inlineStr"/>
      <c r="F97" s="8" t="n">
        <v>1</v>
      </c>
      <c r="G97" s="8" t="inlineStr"/>
    </row>
    <row r="98">
      <c r="A98" s="8" t="inlineStr">
        <is>
          <t>JOY</t>
        </is>
      </c>
      <c r="B98" s="8" t="inlineStr">
        <is>
          <t>The Influencer</t>
        </is>
      </c>
      <c r="C98" s="8" t="inlineStr">
        <is>
          <t>WINNING</t>
        </is>
      </c>
      <c r="D98" s="8" t="inlineStr">
        <is>
          <t>SMILE FOR THE CAMERA, TRASH!</t>
        </is>
      </c>
      <c r="E98" s="8" t="inlineStr"/>
      <c r="F98" s="8" t="n">
        <v>1</v>
      </c>
      <c r="G98" s="8" t="inlineStr"/>
    </row>
    <row r="99">
      <c r="A99" s="8" t="inlineStr">
        <is>
          <t>JOY</t>
        </is>
      </c>
      <c r="B99" s="8" t="inlineStr">
        <is>
          <t>The Influencer</t>
        </is>
      </c>
      <c r="C99" s="8" t="inlineStr">
        <is>
          <t>LOSING</t>
        </is>
      </c>
      <c r="D99" s="8" t="inlineStr">
        <is>
          <t>I'm losing sponsors... I'm losing relevance...</t>
        </is>
      </c>
      <c r="E99" s="8" t="inlineStr"/>
      <c r="F99" s="8" t="n">
        <v>1</v>
      </c>
      <c r="G99" s="8" t="inlineStr"/>
    </row>
    <row r="100">
      <c r="A100" s="8" t="inlineStr">
        <is>
          <t>JOY</t>
        </is>
      </c>
      <c r="B100" s="8" t="inlineStr">
        <is>
          <t>The Influencer</t>
        </is>
      </c>
      <c r="C100" s="8" t="inlineStr">
        <is>
          <t>DEFEAT</t>
        </is>
      </c>
      <c r="D100" s="8" t="inlineStr">
        <is>
          <t>Did anybody... even like... the post?</t>
        </is>
      </c>
      <c r="E100" s="8" t="inlineStr"/>
      <c r="F100" s="8" t="n">
        <v>1</v>
      </c>
      <c r="G100" s="8" t="inlineStr"/>
    </row>
    <row r="101">
      <c r="A101" s="8" t="inlineStr">
        <is>
          <t>JOY</t>
        </is>
      </c>
      <c r="B101" s="8" t="inlineStr">
        <is>
          <t>The Pyromaniac</t>
        </is>
      </c>
      <c r="C101" s="8" t="inlineStr">
        <is>
          <t>INTRO</t>
        </is>
      </c>
      <c r="D101" s="8" t="inlineStr">
        <is>
          <t>Look at how pretty the flames are on the dumpsters! It's art!</t>
        </is>
      </c>
      <c r="E101" s="8" t="inlineStr"/>
      <c r="F101" s="8" t="n">
        <v>1</v>
      </c>
      <c r="G101" s="8" t="inlineStr"/>
    </row>
    <row r="102">
      <c r="A102" s="8" t="inlineStr">
        <is>
          <t>JOY</t>
        </is>
      </c>
      <c r="B102" s="8" t="inlineStr">
        <is>
          <t>The Pyromaniac</t>
        </is>
      </c>
      <c r="C102" s="8" t="inlineStr">
        <is>
          <t>WINNING</t>
        </is>
      </c>
      <c r="D102" s="8" t="inlineStr">
        <is>
          <t>BURN! EVERYTHING LOOKS BETTER IN RED!</t>
        </is>
      </c>
      <c r="E102" s="8" t="inlineStr"/>
      <c r="F102" s="8" t="n">
        <v>1</v>
      </c>
      <c r="G102" s="8" t="inlineStr"/>
    </row>
    <row r="103">
      <c r="A103" s="8" t="inlineStr">
        <is>
          <t>JOY</t>
        </is>
      </c>
      <c r="B103" s="8" t="inlineStr">
        <is>
          <t>The Pyromaniac</t>
        </is>
      </c>
      <c r="C103" s="8" t="inlineStr">
        <is>
          <t>LOSING</t>
        </is>
      </c>
      <c r="D103" s="8" t="inlineStr">
        <is>
          <t>The smoke... I can't breathe...</t>
        </is>
      </c>
      <c r="E103" s="8" t="inlineStr"/>
      <c r="F103" s="8" t="n">
        <v>1</v>
      </c>
      <c r="G103" s="8" t="inlineStr"/>
    </row>
    <row r="104">
      <c r="A104" s="8" t="inlineStr">
        <is>
          <t>JOY</t>
        </is>
      </c>
      <c r="B104" s="8" t="inlineStr">
        <is>
          <t>The Pyromaniac</t>
        </is>
      </c>
      <c r="C104" s="8" t="inlineStr">
        <is>
          <t>DEFEAT</t>
        </is>
      </c>
      <c r="D104" s="8" t="inlineStr">
        <is>
          <t>Just embers... cold, dead embers...</t>
        </is>
      </c>
      <c r="E104" s="8" t="inlineStr"/>
      <c r="F104" s="8" t="n">
        <v>1</v>
      </c>
      <c r="G104" s="8" t="inlineStr"/>
    </row>
    <row r="105">
      <c r="A105" s="8" t="inlineStr">
        <is>
          <t>SURPRISE</t>
        </is>
      </c>
      <c r="B105" s="8" t="inlineStr">
        <is>
          <t>The Betrayed</t>
        </is>
      </c>
      <c r="C105" s="8" t="inlineStr">
        <is>
          <t>INTRO</t>
        </is>
      </c>
      <c r="D105" s="8" t="inlineStr">
        <is>
          <t>Yesss YESSSS give me that sweet sweet nectar GIVE IT... wait, what did you just inject me with?</t>
        </is>
      </c>
      <c r="E105" s="8" t="inlineStr"/>
      <c r="F105" s="8" t="n">
        <v>1</v>
      </c>
      <c r="G105" s="8" t="inlineStr"/>
    </row>
    <row r="106">
      <c r="A106" s="8" t="inlineStr">
        <is>
          <t>SURPRISE</t>
        </is>
      </c>
      <c r="B106" s="8" t="inlineStr">
        <is>
          <t>The Betrayed</t>
        </is>
      </c>
      <c r="C106" s="8" t="inlineStr">
        <is>
          <t>WINNING</t>
        </is>
      </c>
      <c r="D106" s="8" t="inlineStr">
        <is>
          <t>I'LL TEAR THE POISON OUT OF YOUR CHEST!</t>
        </is>
      </c>
      <c r="E106" s="8" t="inlineStr"/>
      <c r="F106" s="8" t="n">
        <v>1</v>
      </c>
      <c r="G106" s="8" t="inlineStr"/>
    </row>
    <row r="107">
      <c r="A107" s="8" t="inlineStr">
        <is>
          <t>SURPRISE</t>
        </is>
      </c>
      <c r="B107" s="8" t="inlineStr">
        <is>
          <t>The Betrayed</t>
        </is>
      </c>
      <c r="C107" s="8" t="inlineStr">
        <is>
          <t>LOSING</t>
        </is>
      </c>
      <c r="D107" s="8" t="inlineStr">
        <is>
          <t>My heart... it's beating too fast...</t>
        </is>
      </c>
      <c r="E107" s="8" t="inlineStr"/>
      <c r="F107" s="8" t="n">
        <v>1</v>
      </c>
      <c r="G107" s="8" t="inlineStr"/>
    </row>
    <row r="108">
      <c r="A108" s="8" t="inlineStr">
        <is>
          <t>SURPRISE</t>
        </is>
      </c>
      <c r="B108" s="8" t="inlineStr">
        <is>
          <t>The Betrayed</t>
        </is>
      </c>
      <c r="C108" s="8" t="inlineStr">
        <is>
          <t>DEFEAT</t>
        </is>
      </c>
      <c r="D108" s="8" t="inlineStr">
        <is>
          <t>You... you killed me...</t>
        </is>
      </c>
      <c r="E108" s="8" t="inlineStr"/>
      <c r="F108" s="8" t="n">
        <v>1</v>
      </c>
      <c r="G108" s="8" t="inlineStr"/>
    </row>
    <row r="109">
      <c r="A109" s="8" t="inlineStr">
        <is>
          <t>SURPRISE</t>
        </is>
      </c>
      <c r="B109" s="8" t="inlineStr">
        <is>
          <t>The Accident</t>
        </is>
      </c>
      <c r="C109" s="8" t="inlineStr">
        <is>
          <t>INTRO</t>
        </is>
      </c>
      <c r="D109" s="8" t="inlineStr">
        <is>
          <t>The light was green! I swear on my mother's life the light was green!</t>
        </is>
      </c>
      <c r="E109" s="8" t="inlineStr"/>
      <c r="F109" s="8" t="n">
        <v>1</v>
      </c>
      <c r="G109" s="8" t="inlineStr"/>
    </row>
    <row r="110">
      <c r="A110" s="8" t="inlineStr">
        <is>
          <t>SURPRISE</t>
        </is>
      </c>
      <c r="B110" s="8" t="inlineStr">
        <is>
          <t>The Accident</t>
        </is>
      </c>
      <c r="C110" s="8" t="inlineStr">
        <is>
          <t>WINNING</t>
        </is>
      </c>
      <c r="D110" s="8" t="inlineStr">
        <is>
          <t>You see it too, right? The glass in my hair?</t>
        </is>
      </c>
      <c r="E110" s="8" t="inlineStr"/>
      <c r="F110" s="8" t="n">
        <v>1</v>
      </c>
      <c r="G110" s="8" t="inlineStr"/>
    </row>
    <row r="111">
      <c r="A111" s="8" t="inlineStr">
        <is>
          <t>SURPRISE</t>
        </is>
      </c>
      <c r="B111" s="8" t="inlineStr">
        <is>
          <t>The Accident</t>
        </is>
      </c>
      <c r="C111" s="8" t="inlineStr">
        <is>
          <t>LOSING</t>
        </is>
      </c>
      <c r="D111" s="8" t="inlineStr">
        <is>
          <t>Why is the steering wheel bending like that?</t>
        </is>
      </c>
      <c r="E111" s="8" t="inlineStr"/>
      <c r="F111" s="8" t="n">
        <v>1</v>
      </c>
      <c r="G111" s="8" t="inlineStr"/>
    </row>
    <row r="112">
      <c r="A112" s="8" t="inlineStr">
        <is>
          <t>SURPRISE</t>
        </is>
      </c>
      <c r="B112" s="8" t="inlineStr">
        <is>
          <t>The Accident</t>
        </is>
      </c>
      <c r="C112" s="8" t="inlineStr">
        <is>
          <t>DEFEAT</t>
        </is>
      </c>
      <c r="D112" s="8" t="inlineStr">
        <is>
          <t>I can't... feel my legs...</t>
        </is>
      </c>
      <c r="E112" s="8" t="inlineStr"/>
      <c r="F112" s="8" t="n">
        <v>1</v>
      </c>
      <c r="G112" s="8" t="inlineStr"/>
    </row>
    <row r="113">
      <c r="A113" s="8" t="inlineStr">
        <is>
          <t>SURPRISE</t>
        </is>
      </c>
      <c r="B113" s="8" t="inlineStr">
        <is>
          <t>The Diagnosis</t>
        </is>
      </c>
      <c r="C113" s="8" t="inlineStr">
        <is>
          <t>INTRO</t>
        </is>
      </c>
      <c r="D113" s="8" t="inlineStr">
        <is>
          <t>Six months? You're joking, right? I ran a marathon yesterday...</t>
        </is>
      </c>
      <c r="E113" s="8" t="inlineStr"/>
      <c r="F113" s="8" t="n">
        <v>1</v>
      </c>
      <c r="G113" s="8" t="inlineStr"/>
    </row>
    <row r="114">
      <c r="A114" s="8" t="inlineStr">
        <is>
          <t>SURPRISE</t>
        </is>
      </c>
      <c r="B114" s="8" t="inlineStr">
        <is>
          <t>The Diagnosis</t>
        </is>
      </c>
      <c r="C114" s="8" t="inlineStr">
        <is>
          <t>WINNING</t>
        </is>
      </c>
      <c r="D114" s="8" t="inlineStr">
        <is>
          <t>I'M NOT SICK! LOOK AT HOW STRONG I AM!</t>
        </is>
      </c>
      <c r="E114" s="8" t="inlineStr"/>
      <c r="F114" s="8" t="n">
        <v>1</v>
      </c>
      <c r="G114" s="8" t="inlineStr"/>
    </row>
    <row r="115">
      <c r="A115" s="8" t="inlineStr">
        <is>
          <t>SURPRISE</t>
        </is>
      </c>
      <c r="B115" s="8" t="inlineStr">
        <is>
          <t>The Diagnosis</t>
        </is>
      </c>
      <c r="C115" s="8" t="inlineStr">
        <is>
          <t>LOSING</t>
        </is>
      </c>
      <c r="D115" s="8" t="inlineStr">
        <is>
          <t>Why am I coughing blood...?</t>
        </is>
      </c>
      <c r="E115" s="8" t="inlineStr"/>
      <c r="F115" s="8" t="n">
        <v>1</v>
      </c>
      <c r="G115" s="8" t="inlineStr"/>
    </row>
    <row r="116">
      <c r="A116" s="8" t="inlineStr">
        <is>
          <t>SURPRISE</t>
        </is>
      </c>
      <c r="B116" s="8" t="inlineStr">
        <is>
          <t>The Diagnosis</t>
        </is>
      </c>
      <c r="C116" s="8" t="inlineStr">
        <is>
          <t>DEFEAT</t>
        </is>
      </c>
      <c r="D116" s="8" t="inlineStr">
        <is>
          <t>I don't have enough time...</t>
        </is>
      </c>
      <c r="E116" s="8" t="inlineStr"/>
      <c r="F116" s="8" t="n">
        <v>1</v>
      </c>
      <c r="G116" s="8" t="inlineStr"/>
    </row>
    <row r="117">
      <c r="A117" s="8" t="inlineStr">
        <is>
          <t>SURPRISE</t>
        </is>
      </c>
      <c r="B117" s="8" t="inlineStr">
        <is>
          <t>The Raid</t>
        </is>
      </c>
      <c r="C117" s="8" t="inlineStr">
        <is>
          <t>INTRO</t>
        </is>
      </c>
      <c r="D117" s="8" t="inlineStr">
        <is>
          <t>They're breaking down the door! Throw it in the toilet, NOW!</t>
        </is>
      </c>
      <c r="E117" s="8" t="inlineStr"/>
      <c r="F117" s="8" t="n">
        <v>1</v>
      </c>
      <c r="G117" s="8" t="inlineStr"/>
    </row>
    <row r="118">
      <c r="A118" s="8" t="inlineStr">
        <is>
          <t>SURPRISE</t>
        </is>
      </c>
      <c r="B118" s="8" t="inlineStr">
        <is>
          <t>The Raid</t>
        </is>
      </c>
      <c r="C118" s="8" t="inlineStr">
        <is>
          <t>WINNING</t>
        </is>
      </c>
      <c r="D118" s="8" t="inlineStr">
        <is>
          <t>YOU'LL NEVER TAKE ME ALIVE, PIGS!</t>
        </is>
      </c>
      <c r="E118" s="8" t="inlineStr"/>
      <c r="F118" s="8" t="n">
        <v>1</v>
      </c>
      <c r="G118" s="8" t="inlineStr"/>
    </row>
    <row r="119">
      <c r="A119" s="8" t="inlineStr">
        <is>
          <t>SURPRISE</t>
        </is>
      </c>
      <c r="B119" s="8" t="inlineStr">
        <is>
          <t>The Raid</t>
        </is>
      </c>
      <c r="C119" s="8" t="inlineStr">
        <is>
          <t>LOSING</t>
        </is>
      </c>
      <c r="D119" s="8" t="inlineStr">
        <is>
          <t>The window... it's too high up...</t>
        </is>
      </c>
      <c r="E119" s="8" t="inlineStr"/>
      <c r="F119" s="8" t="n">
        <v>1</v>
      </c>
      <c r="G119" s="8" t="inlineStr"/>
    </row>
    <row r="120">
      <c r="A120" s="8" t="inlineStr">
        <is>
          <t>SURPRISE</t>
        </is>
      </c>
      <c r="B120" s="8" t="inlineStr">
        <is>
          <t>The Raid</t>
        </is>
      </c>
      <c r="C120" s="8" t="inlineStr">
        <is>
          <t>DEFEAT</t>
        </is>
      </c>
      <c r="D120" s="8" t="inlineStr">
        <is>
          <t>Handcuffs... so cold...</t>
        </is>
      </c>
      <c r="E120" s="8" t="inlineStr"/>
      <c r="F120" s="8" t="n">
        <v>1</v>
      </c>
      <c r="G120" s="8" t="inlineStr"/>
    </row>
    <row r="121">
      <c r="A121" s="8" t="inlineStr">
        <is>
          <t>SURPRISE</t>
        </is>
      </c>
      <c r="B121" s="8" t="inlineStr">
        <is>
          <t>The Ghost</t>
        </is>
      </c>
      <c r="C121" s="8" t="inlineStr">
        <is>
          <t>INTRO</t>
        </is>
      </c>
      <c r="D121" s="8" t="inlineStr">
        <is>
          <t>Why won't anybody look at me? I've been screaming on this platform for hours...</t>
        </is>
      </c>
      <c r="E121" s="8" t="inlineStr"/>
      <c r="F121" s="8" t="n">
        <v>1</v>
      </c>
      <c r="G121" s="8" t="inlineStr"/>
    </row>
    <row r="122">
      <c r="A122" s="8" t="inlineStr">
        <is>
          <t>SURPRISE</t>
        </is>
      </c>
      <c r="B122" s="8" t="inlineStr">
        <is>
          <t>The Ghost</t>
        </is>
      </c>
      <c r="C122" s="8" t="inlineStr">
        <is>
          <t>WINNING</t>
        </is>
      </c>
      <c r="D122" s="8" t="inlineStr">
        <is>
          <t>FEEL ME! FEEL MY COLD HANDS!</t>
        </is>
      </c>
      <c r="E122" s="8" t="inlineStr"/>
      <c r="F122" s="8" t="n">
        <v>1</v>
      </c>
      <c r="G122" s="8" t="inlineStr"/>
    </row>
    <row r="123">
      <c r="A123" s="8" t="inlineStr">
        <is>
          <t>SURPRISE</t>
        </is>
      </c>
      <c r="B123" s="8" t="inlineStr">
        <is>
          <t>The Ghost</t>
        </is>
      </c>
      <c r="C123" s="8" t="inlineStr">
        <is>
          <t>LOSING</t>
        </is>
      </c>
      <c r="D123" s="8" t="inlineStr">
        <is>
          <t>My reflection... I don't have a reflection...</t>
        </is>
      </c>
      <c r="E123" s="8" t="inlineStr"/>
      <c r="F123" s="8" t="n">
        <v>1</v>
      </c>
      <c r="G123" s="8" t="inlineStr"/>
    </row>
    <row r="124">
      <c r="A124" s="8" t="inlineStr">
        <is>
          <t>SURPRISE</t>
        </is>
      </c>
      <c r="B124" s="8" t="inlineStr">
        <is>
          <t>The Ghost</t>
        </is>
      </c>
      <c r="C124" s="8" t="inlineStr">
        <is>
          <t>DEFEAT</t>
        </is>
      </c>
      <c r="D124" s="8" t="inlineStr">
        <is>
          <t>I died... I died under the metro...</t>
        </is>
      </c>
      <c r="E124" s="8" t="inlineStr"/>
      <c r="F124" s="8" t="n">
        <v>1</v>
      </c>
      <c r="G124" s="8" t="inlineStr"/>
    </row>
    <row r="125">
      <c r="A125" s="8" t="inlineStr">
        <is>
          <t>ANGER</t>
        </is>
      </c>
      <c r="B125" s="8" t="inlineStr">
        <is>
          <t>The Bailiff</t>
        </is>
      </c>
      <c r="C125" s="8" t="inlineStr">
        <is>
          <t>INTRO</t>
        </is>
      </c>
      <c r="D125" s="8" t="inlineStr">
        <is>
          <t>I have the paper, I have the locks and I have all morning. OPEN IT.</t>
        </is>
      </c>
      <c r="E125" s="8" t="inlineStr">
        <is>
          <t>STRONG</t>
        </is>
      </c>
      <c r="F125" s="8" t="n">
        <v>1</v>
      </c>
      <c r="G125" s="8" t="inlineStr"/>
    </row>
    <row r="126">
      <c r="A126" s="8" t="inlineStr">
        <is>
          <t>ANGER</t>
        </is>
      </c>
      <c r="B126" s="8" t="inlineStr">
        <is>
          <t>The Bailiff</t>
        </is>
      </c>
      <c r="C126" s="8" t="inlineStr">
        <is>
          <t>WINNING</t>
        </is>
      </c>
      <c r="D126" s="8" t="inlineStr">
        <is>
          <t>Everything in here belongs to someone else now. Including you.</t>
        </is>
      </c>
      <c r="E126" s="8" t="inlineStr">
        <is>
          <t>STRONG</t>
        </is>
      </c>
      <c r="F126" s="8" t="n">
        <v>1</v>
      </c>
      <c r="G126" s="8" t="inlineStr"/>
    </row>
    <row r="127">
      <c r="A127" s="8" t="inlineStr">
        <is>
          <t>ANGER</t>
        </is>
      </c>
      <c r="B127" s="8" t="inlineStr">
        <is>
          <t>The Bailiff</t>
        </is>
      </c>
      <c r="C127" s="8" t="inlineStr">
        <is>
          <t>LOSING</t>
        </is>
      </c>
      <c r="D127" s="8" t="inlineStr">
        <is>
          <t>I'm just doing my job — I'M JUST DOING MY JOB!</t>
        </is>
      </c>
      <c r="E127" s="8" t="inlineStr">
        <is>
          <t>STRONG</t>
        </is>
      </c>
      <c r="F127" s="8" t="n">
        <v>1</v>
      </c>
      <c r="G127" s="8" t="inlineStr"/>
    </row>
    <row r="128">
      <c r="A128" s="8" t="inlineStr">
        <is>
          <t>ANGER</t>
        </is>
      </c>
      <c r="B128" s="8" t="inlineStr">
        <is>
          <t>The Bailiff</t>
        </is>
      </c>
      <c r="C128" s="8" t="inlineStr">
        <is>
          <t>DEFEAT</t>
        </is>
      </c>
      <c r="D128" s="8" t="inlineStr">
        <is>
          <t>There's another twelve on the list today. Someone else will come.</t>
        </is>
      </c>
      <c r="E128" s="8" t="inlineStr">
        <is>
          <t>STRONG</t>
        </is>
      </c>
      <c r="F128" s="8" t="n">
        <v>1</v>
      </c>
      <c r="G128" s="8" t="inlineStr"/>
    </row>
    <row r="129">
      <c r="A129" s="8" t="inlineStr">
        <is>
          <t>ANGER</t>
        </is>
      </c>
      <c r="B129" s="8" t="inlineStr">
        <is>
          <t>The Riot Line</t>
        </is>
      </c>
      <c r="C129" s="8" t="inlineStr">
        <is>
          <t>INTRO</t>
        </is>
      </c>
      <c r="D129" s="8" t="inlineStr">
        <is>
          <t>Disperse. You have been warned. YOU HAVE BEEN WARNED!</t>
        </is>
      </c>
      <c r="E129" s="8" t="inlineStr">
        <is>
          <t>STRONG</t>
        </is>
      </c>
      <c r="F129" s="8" t="n">
        <v>1</v>
      </c>
      <c r="G129" s="8" t="inlineStr"/>
    </row>
    <row r="130">
      <c r="A130" s="8" t="inlineStr">
        <is>
          <t>ANGER</t>
        </is>
      </c>
      <c r="B130" s="8" t="inlineStr">
        <is>
          <t>The Riot Line</t>
        </is>
      </c>
      <c r="C130" s="8" t="inlineStr">
        <is>
          <t>WINNING</t>
        </is>
      </c>
      <c r="D130" s="8" t="inlineStr">
        <is>
          <t>Nobody filmed this. Nobody ever films this.</t>
        </is>
      </c>
      <c r="E130" s="8" t="inlineStr">
        <is>
          <t>STRONG</t>
        </is>
      </c>
      <c r="F130" s="8" t="n">
        <v>1</v>
      </c>
      <c r="G130" s="8" t="inlineStr"/>
    </row>
    <row r="131">
      <c r="A131" s="8" t="inlineStr">
        <is>
          <t>ANGER</t>
        </is>
      </c>
      <c r="B131" s="8" t="inlineStr">
        <is>
          <t>The Riot Line</t>
        </is>
      </c>
      <c r="C131" s="8" t="inlineStr">
        <is>
          <t>LOSING</t>
        </is>
      </c>
      <c r="D131" s="8" t="inlineStr">
        <is>
          <t>Hold the line... hold the LINE...</t>
        </is>
      </c>
      <c r="E131" s="8" t="inlineStr">
        <is>
          <t>STRONG</t>
        </is>
      </c>
      <c r="F131" s="8" t="n">
        <v>1</v>
      </c>
      <c r="G131" s="8" t="inlineStr"/>
    </row>
    <row r="132">
      <c r="A132" s="8" t="inlineStr">
        <is>
          <t>ANGER</t>
        </is>
      </c>
      <c r="B132" s="8" t="inlineStr">
        <is>
          <t>The Riot Line</t>
        </is>
      </c>
      <c r="C132" s="8" t="inlineStr">
        <is>
          <t>DEFEAT</t>
        </is>
      </c>
      <c r="D132" s="8" t="inlineStr">
        <is>
          <t>Badge number... nobody ever asks for the badge number.</t>
        </is>
      </c>
      <c r="E132" s="8" t="inlineStr">
        <is>
          <t>STRONG</t>
        </is>
      </c>
      <c r="F132" s="8" t="n">
        <v>1</v>
      </c>
      <c r="G132" s="8" t="inlineStr"/>
    </row>
    <row r="133">
      <c r="A133" s="8" t="inlineStr">
        <is>
          <t>ANGER</t>
        </is>
      </c>
      <c r="B133" s="8" t="inlineStr">
        <is>
          <t>The Developer</t>
        </is>
      </c>
      <c r="C133" s="8" t="inlineStr">
        <is>
          <t>INTRO</t>
        </is>
      </c>
      <c r="D133" s="8" t="inlineStr">
        <is>
          <t>Forty families out by Friday and a rooftop pool by spring. Try and stop me.</t>
        </is>
      </c>
      <c r="E133" s="8" t="inlineStr">
        <is>
          <t>STRONG</t>
        </is>
      </c>
      <c r="F133" s="8" t="n">
        <v>1</v>
      </c>
      <c r="G133" s="8" t="inlineStr"/>
    </row>
    <row r="134">
      <c r="A134" s="8" t="inlineStr">
        <is>
          <t>ANGER</t>
        </is>
      </c>
      <c r="B134" s="8" t="inlineStr">
        <is>
          <t>The Developer</t>
        </is>
      </c>
      <c r="C134" s="8" t="inlineStr">
        <is>
          <t>WINNING</t>
        </is>
      </c>
      <c r="D134" s="8" t="inlineStr">
        <is>
          <t>This whole barri is already sold. You're standing in a render.</t>
        </is>
      </c>
      <c r="E134" s="8" t="inlineStr">
        <is>
          <t>STRONG</t>
        </is>
      </c>
      <c r="F134" s="8" t="n">
        <v>1</v>
      </c>
      <c r="G134" s="8" t="inlineStr"/>
    </row>
    <row r="135">
      <c r="A135" s="8" t="inlineStr">
        <is>
          <t>ANGER</t>
        </is>
      </c>
      <c r="B135" s="8" t="inlineStr">
        <is>
          <t>The Developer</t>
        </is>
      </c>
      <c r="C135" s="8" t="inlineStr">
        <is>
          <t>LOSING</t>
        </is>
      </c>
      <c r="D135" s="8" t="inlineStr">
        <is>
          <t>The permits — who talked to the press about the permits?!</t>
        </is>
      </c>
      <c r="E135" s="8" t="inlineStr">
        <is>
          <t>STRONG</t>
        </is>
      </c>
      <c r="F135" s="8" t="n">
        <v>1</v>
      </c>
      <c r="G135" s="8" t="inlineStr"/>
    </row>
    <row r="136">
      <c r="A136" s="8" t="inlineStr">
        <is>
          <t>ANGER</t>
        </is>
      </c>
      <c r="B136" s="8" t="inlineStr">
        <is>
          <t>The Developer</t>
        </is>
      </c>
      <c r="C136" s="8" t="inlineStr">
        <is>
          <t>DEFEAT</t>
        </is>
      </c>
      <c r="D136" s="8" t="inlineStr">
        <is>
          <t>It was going to be beautiful...</t>
        </is>
      </c>
      <c r="E136" s="8" t="inlineStr">
        <is>
          <t>STRONG</t>
        </is>
      </c>
      <c r="F136" s="8" t="n">
        <v>1</v>
      </c>
      <c r="G136" s="8" t="inlineStr"/>
    </row>
    <row r="137">
      <c r="A137" s="8" t="inlineStr">
        <is>
          <t>SURPRISE</t>
        </is>
      </c>
      <c r="B137" s="8" t="inlineStr">
        <is>
          <t>The Verdict</t>
        </is>
      </c>
      <c r="C137" s="8" t="inlineStr">
        <is>
          <t>INTRO</t>
        </is>
      </c>
      <c r="D137" s="8" t="inlineStr">
        <is>
          <t>All of it. They're keeping ALL of it. I signed — I SIGNED WHAT?!</t>
        </is>
      </c>
      <c r="E137" s="8" t="inlineStr">
        <is>
          <t>STRONG</t>
        </is>
      </c>
      <c r="F137" s="8" t="n">
        <v>1</v>
      </c>
      <c r="G137" s="8" t="inlineStr"/>
    </row>
    <row r="138">
      <c r="A138" s="8" t="inlineStr">
        <is>
          <t>SURPRISE</t>
        </is>
      </c>
      <c r="B138" s="8" t="inlineStr">
        <is>
          <t>The Verdict</t>
        </is>
      </c>
      <c r="C138" s="8" t="inlineStr">
        <is>
          <t>WINNING</t>
        </is>
      </c>
      <c r="D138" s="8" t="inlineStr">
        <is>
          <t>Read the small print, they said. READ IT NOW, GO ON!</t>
        </is>
      </c>
      <c r="E138" s="8" t="inlineStr">
        <is>
          <t>STRONG</t>
        </is>
      </c>
      <c r="F138" s="8" t="n">
        <v>1</v>
      </c>
      <c r="G138" s="8" t="inlineStr"/>
    </row>
    <row r="139">
      <c r="A139" s="8" t="inlineStr">
        <is>
          <t>SURPRISE</t>
        </is>
      </c>
      <c r="B139" s="8" t="inlineStr">
        <is>
          <t>The Verdict</t>
        </is>
      </c>
      <c r="C139" s="8" t="inlineStr">
        <is>
          <t>LOSING</t>
        </is>
      </c>
      <c r="D139" s="8" t="inlineStr">
        <is>
          <t>There has to be an appeal. There's always an appeal...</t>
        </is>
      </c>
      <c r="E139" s="8" t="inlineStr">
        <is>
          <t>STRONG</t>
        </is>
      </c>
      <c r="F139" s="8" t="n">
        <v>1</v>
      </c>
      <c r="G139" s="8" t="inlineStr"/>
    </row>
    <row r="140">
      <c r="A140" s="8" t="inlineStr">
        <is>
          <t>SURPRISE</t>
        </is>
      </c>
      <c r="B140" s="8" t="inlineStr">
        <is>
          <t>The Verdict</t>
        </is>
      </c>
      <c r="C140" s="8" t="inlineStr">
        <is>
          <t>DEFEAT</t>
        </is>
      </c>
      <c r="D140" s="8" t="inlineStr">
        <is>
          <t>Fourteen years. In one afternoon.</t>
        </is>
      </c>
      <c r="E140" s="8" t="inlineStr">
        <is>
          <t>STRONG</t>
        </is>
      </c>
      <c r="F140" s="8" t="n">
        <v>1</v>
      </c>
      <c r="G140" s="8" t="inlineStr"/>
    </row>
    <row r="141">
      <c r="A141" s="8" t="inlineStr">
        <is>
          <t>SURPRISE</t>
        </is>
      </c>
      <c r="B141" s="8" t="inlineStr">
        <is>
          <t>The Blackout</t>
        </is>
      </c>
      <c r="C141" s="8" t="inlineStr">
        <is>
          <t>INTRO</t>
        </is>
      </c>
      <c r="D141" s="8" t="inlineStr">
        <is>
          <t>Whose jacket is this? WHOSE BLOOD IS THIS? Somebody tell me what I did!</t>
        </is>
      </c>
      <c r="E141" s="8" t="inlineStr">
        <is>
          <t>STRONG</t>
        </is>
      </c>
      <c r="F141" s="8" t="n">
        <v>1</v>
      </c>
      <c r="G141" s="8" t="inlineStr"/>
    </row>
    <row r="142">
      <c r="A142" s="8" t="inlineStr">
        <is>
          <t>SURPRISE</t>
        </is>
      </c>
      <c r="B142" s="8" t="inlineStr">
        <is>
          <t>The Blackout</t>
        </is>
      </c>
      <c r="C142" s="8" t="inlineStr">
        <is>
          <t>WINNING</t>
        </is>
      </c>
      <c r="D142" s="8" t="inlineStr">
        <is>
          <t>You were there! You saw it! SAY WHAT YOU SAW!</t>
        </is>
      </c>
      <c r="E142" s="8" t="inlineStr">
        <is>
          <t>STRONG</t>
        </is>
      </c>
      <c r="F142" s="8" t="n">
        <v>1</v>
      </c>
      <c r="G142" s="8" t="inlineStr"/>
    </row>
    <row r="143">
      <c r="A143" s="8" t="inlineStr">
        <is>
          <t>SURPRISE</t>
        </is>
      </c>
      <c r="B143" s="8" t="inlineStr">
        <is>
          <t>The Blackout</t>
        </is>
      </c>
      <c r="C143" s="8" t="inlineStr">
        <is>
          <t>LOSING</t>
        </is>
      </c>
      <c r="D143" s="8" t="inlineStr">
        <is>
          <t>It's coming back... oh God, it's coming back...</t>
        </is>
      </c>
      <c r="E143" s="8" t="inlineStr">
        <is>
          <t>STRONG</t>
        </is>
      </c>
      <c r="F143" s="8" t="n">
        <v>1</v>
      </c>
      <c r="G143" s="8" t="inlineStr"/>
    </row>
    <row r="144">
      <c r="A144" s="8" t="inlineStr">
        <is>
          <t>SURPRISE</t>
        </is>
      </c>
      <c r="B144" s="8" t="inlineStr">
        <is>
          <t>The Blackout</t>
        </is>
      </c>
      <c r="C144" s="8" t="inlineStr">
        <is>
          <t>DEFEAT</t>
        </is>
      </c>
      <c r="D144" s="8" t="inlineStr">
        <is>
          <t>Don't tell me. Please. Don't ever tell me.</t>
        </is>
      </c>
      <c r="E144" s="8" t="inlineStr">
        <is>
          <t>STRONG</t>
        </is>
      </c>
      <c r="F144" s="8" t="n">
        <v>1</v>
      </c>
      <c r="G144" s="8" t="inlineStr"/>
    </row>
    <row r="145">
      <c r="A145" s="8" t="inlineStr">
        <is>
          <t>SURPRISE</t>
        </is>
      </c>
      <c r="B145" s="8" t="inlineStr">
        <is>
          <t>The Collapse</t>
        </is>
      </c>
      <c r="C145" s="8" t="inlineStr">
        <is>
          <t>INTRO</t>
        </is>
      </c>
      <c r="D145" s="8" t="inlineStr">
        <is>
          <t>The ceiling was there this morning. IT WAS THERE THIS MORNING!</t>
        </is>
      </c>
      <c r="E145" s="8" t="inlineStr">
        <is>
          <t>STRONG</t>
        </is>
      </c>
      <c r="F145" s="8" t="n">
        <v>1</v>
      </c>
      <c r="G145" s="8" t="inlineStr"/>
    </row>
    <row r="146">
      <c r="A146" s="8" t="inlineStr">
        <is>
          <t>SURPRISE</t>
        </is>
      </c>
      <c r="B146" s="8" t="inlineStr">
        <is>
          <t>The Collapse</t>
        </is>
      </c>
      <c r="C146" s="8" t="inlineStr">
        <is>
          <t>WINNING</t>
        </is>
      </c>
      <c r="D146" s="8" t="inlineStr">
        <is>
          <t>Nothing holds! Look at it! NOTHING HOLDS!</t>
        </is>
      </c>
      <c r="E146" s="8" t="inlineStr">
        <is>
          <t>STRONG</t>
        </is>
      </c>
      <c r="F146" s="8" t="n">
        <v>1</v>
      </c>
      <c r="G146" s="8" t="inlineStr"/>
    </row>
    <row r="147">
      <c r="A147" s="8" t="inlineStr">
        <is>
          <t>SURPRISE</t>
        </is>
      </c>
      <c r="B147" s="8" t="inlineStr">
        <is>
          <t>The Collapse</t>
        </is>
      </c>
      <c r="C147" s="8" t="inlineStr">
        <is>
          <t>LOSING</t>
        </is>
      </c>
      <c r="D147" s="8" t="inlineStr">
        <is>
          <t>My hands won't stop. Why won't my hands stop?</t>
        </is>
      </c>
      <c r="E147" s="8" t="inlineStr">
        <is>
          <t>STRONG</t>
        </is>
      </c>
      <c r="F147" s="8" t="n">
        <v>1</v>
      </c>
      <c r="G147" s="8" t="inlineStr"/>
    </row>
    <row r="148">
      <c r="A148" s="8" t="inlineStr">
        <is>
          <t>SURPRISE</t>
        </is>
      </c>
      <c r="B148" s="8" t="inlineStr">
        <is>
          <t>The Collapse</t>
        </is>
      </c>
      <c r="C148" s="8" t="inlineStr">
        <is>
          <t>DEFEAT</t>
        </is>
      </c>
      <c r="D148" s="8" t="inlineStr">
        <is>
          <t>Everyone kept saying it was fine.</t>
        </is>
      </c>
      <c r="E148" s="8" t="inlineStr">
        <is>
          <t>STRONG</t>
        </is>
      </c>
      <c r="F148" s="8" t="n">
        <v>1</v>
      </c>
      <c r="G148" s="8" t="inlineStr"/>
    </row>
    <row r="149">
      <c r="A149" s="8" t="inlineStr">
        <is>
          <t>SADNESS</t>
        </is>
      </c>
      <c r="B149" s="8" t="inlineStr">
        <is>
          <t>The Sleepless</t>
        </is>
      </c>
      <c r="C149" s="8" t="inlineStr">
        <is>
          <t>INTRO</t>
        </is>
      </c>
      <c r="D149" s="8" t="inlineStr">
        <is>
          <t>Fourth night. The train's warm, that's all. Don't make me move.</t>
        </is>
      </c>
      <c r="E149" s="8" t="inlineStr">
        <is>
          <t>WEAK</t>
        </is>
      </c>
      <c r="F149" s="8" t="n">
        <v>1</v>
      </c>
      <c r="G149" s="8" t="inlineStr"/>
    </row>
    <row r="150">
      <c r="A150" s="8" t="inlineStr">
        <is>
          <t>SADNESS</t>
        </is>
      </c>
      <c r="B150" s="8" t="inlineStr">
        <is>
          <t>The Sleepless</t>
        </is>
      </c>
      <c r="C150" s="8" t="inlineStr">
        <is>
          <t>WINNING</t>
        </is>
      </c>
      <c r="D150" s="8" t="inlineStr">
        <is>
          <t>You get used to the noise. You never get used to the light.</t>
        </is>
      </c>
      <c r="E150" s="8" t="inlineStr">
        <is>
          <t>WEAK</t>
        </is>
      </c>
      <c r="F150" s="8" t="n">
        <v>1</v>
      </c>
      <c r="G150" s="8" t="inlineStr"/>
    </row>
    <row r="151">
      <c r="A151" s="8" t="inlineStr">
        <is>
          <t>SADNESS</t>
        </is>
      </c>
      <c r="B151" s="8" t="inlineStr">
        <is>
          <t>The Sleepless</t>
        </is>
      </c>
      <c r="C151" s="8" t="inlineStr">
        <is>
          <t>LOSING</t>
        </is>
      </c>
      <c r="D151" s="8" t="inlineStr">
        <is>
          <t>I only wanted to close my eyes...</t>
        </is>
      </c>
      <c r="E151" s="8" t="inlineStr">
        <is>
          <t>WEAK</t>
        </is>
      </c>
      <c r="F151" s="8" t="n">
        <v>1</v>
      </c>
      <c r="G151" s="8" t="inlineStr"/>
    </row>
    <row r="152">
      <c r="A152" s="8" t="inlineStr">
        <is>
          <t>SADNESS</t>
        </is>
      </c>
      <c r="B152" s="8" t="inlineStr">
        <is>
          <t>The Sleepless</t>
        </is>
      </c>
      <c r="C152" s="8" t="inlineStr">
        <is>
          <t>DEFEAT</t>
        </is>
      </c>
      <c r="D152" s="8" t="inlineStr">
        <is>
          <t>Wake me at Fondo. Somebody always does.</t>
        </is>
      </c>
      <c r="E152" s="8" t="inlineStr">
        <is>
          <t>WEAK</t>
        </is>
      </c>
      <c r="F152" s="8" t="n">
        <v>1</v>
      </c>
      <c r="G152" s="8" t="inlineStr"/>
    </row>
    <row r="153">
      <c r="A153" s="8" t="inlineStr">
        <is>
          <t>SADNESS</t>
        </is>
      </c>
      <c r="B153" s="8" t="inlineStr">
        <is>
          <t>The Unread Message</t>
        </is>
      </c>
      <c r="C153" s="8" t="inlineStr">
        <is>
          <t>INTRO</t>
        </is>
      </c>
      <c r="D153" s="8" t="inlineStr">
        <is>
          <t>Delivered. Two blue ticks, eleven days ago. That's the whole story.</t>
        </is>
      </c>
      <c r="E153" s="8" t="inlineStr">
        <is>
          <t>WEAK</t>
        </is>
      </c>
      <c r="F153" s="8" t="n">
        <v>1</v>
      </c>
      <c r="G153" s="8" t="inlineStr"/>
    </row>
    <row r="154">
      <c r="A154" s="8" t="inlineStr">
        <is>
          <t>SADNESS</t>
        </is>
      </c>
      <c r="B154" s="8" t="inlineStr">
        <is>
          <t>The Unread Message</t>
        </is>
      </c>
      <c r="C154" s="8" t="inlineStr">
        <is>
          <t>WINNING</t>
        </is>
      </c>
      <c r="D154" s="8" t="inlineStr">
        <is>
          <t>Everyone's busy. Everyone's always so busy.</t>
        </is>
      </c>
      <c r="E154" s="8" t="inlineStr">
        <is>
          <t>WEAK</t>
        </is>
      </c>
      <c r="F154" s="8" t="n">
        <v>1</v>
      </c>
      <c r="G154" s="8" t="inlineStr"/>
    </row>
    <row r="155">
      <c r="A155" s="8" t="inlineStr">
        <is>
          <t>SADNESS</t>
        </is>
      </c>
      <c r="B155" s="8" t="inlineStr">
        <is>
          <t>The Unread Message</t>
        </is>
      </c>
      <c r="C155" s="8" t="inlineStr">
        <is>
          <t>LOSING</t>
        </is>
      </c>
      <c r="D155" s="8" t="inlineStr">
        <is>
          <t>Maybe she's just... maybe the phone...</t>
        </is>
      </c>
      <c r="E155" s="8" t="inlineStr">
        <is>
          <t>WEAK</t>
        </is>
      </c>
      <c r="F155" s="8" t="n">
        <v>1</v>
      </c>
      <c r="G155" s="8" t="inlineStr"/>
    </row>
    <row r="156">
      <c r="A156" s="8" t="inlineStr">
        <is>
          <t>SADNESS</t>
        </is>
      </c>
      <c r="B156" s="8" t="inlineStr">
        <is>
          <t>The Unread Message</t>
        </is>
      </c>
      <c r="C156" s="8" t="inlineStr">
        <is>
          <t>DEFEAT</t>
        </is>
      </c>
      <c r="D156" s="8" t="inlineStr">
        <is>
          <t>I'll type it again tonight. I won't send it.</t>
        </is>
      </c>
      <c r="E156" s="8" t="inlineStr">
        <is>
          <t>WEAK</t>
        </is>
      </c>
      <c r="F156" s="8" t="n">
        <v>1</v>
      </c>
      <c r="G156" s="8" t="inlineStr"/>
    </row>
    <row r="157">
      <c r="A157" s="8" t="inlineStr">
        <is>
          <t>SADNESS</t>
        </is>
      </c>
      <c r="B157" s="8" t="inlineStr">
        <is>
          <t>The Last One Out</t>
        </is>
      </c>
      <c r="C157" s="8" t="inlineStr">
        <is>
          <t>INTRO</t>
        </is>
      </c>
      <c r="D157" s="8" t="inlineStr">
        <is>
          <t>Everybody left for Berlin, Lisbon, anywhere. I locked up.</t>
        </is>
      </c>
      <c r="E157" s="8" t="inlineStr">
        <is>
          <t>WEAK</t>
        </is>
      </c>
      <c r="F157" s="8" t="n">
        <v>1</v>
      </c>
      <c r="G157" s="8" t="inlineStr"/>
    </row>
    <row r="158">
      <c r="A158" s="8" t="inlineStr">
        <is>
          <t>SADNESS</t>
        </is>
      </c>
      <c r="B158" s="8" t="inlineStr">
        <is>
          <t>The Last One Out</t>
        </is>
      </c>
      <c r="C158" s="8" t="inlineStr">
        <is>
          <t>WINNING</t>
        </is>
      </c>
      <c r="D158" s="8" t="inlineStr">
        <is>
          <t>You'll go too. They all go.</t>
        </is>
      </c>
      <c r="E158" s="8" t="inlineStr">
        <is>
          <t>WEAK</t>
        </is>
      </c>
      <c r="F158" s="8" t="n">
        <v>1</v>
      </c>
      <c r="G158" s="8" t="inlineStr"/>
    </row>
    <row r="159">
      <c r="A159" s="8" t="inlineStr">
        <is>
          <t>SADNESS</t>
        </is>
      </c>
      <c r="B159" s="8" t="inlineStr">
        <is>
          <t>The Last One Out</t>
        </is>
      </c>
      <c r="C159" s="8" t="inlineStr">
        <is>
          <t>LOSING</t>
        </is>
      </c>
      <c r="D159" s="8" t="inlineStr">
        <is>
          <t>It's only me on this platform now...</t>
        </is>
      </c>
      <c r="E159" s="8" t="inlineStr">
        <is>
          <t>WEAK</t>
        </is>
      </c>
      <c r="F159" s="8" t="n">
        <v>1</v>
      </c>
      <c r="G159" s="8" t="inlineStr"/>
    </row>
    <row r="160">
      <c r="A160" s="8" t="inlineStr">
        <is>
          <t>SADNESS</t>
        </is>
      </c>
      <c r="B160" s="8" t="inlineStr">
        <is>
          <t>The Last One Out</t>
        </is>
      </c>
      <c r="C160" s="8" t="inlineStr">
        <is>
          <t>DEFEAT</t>
        </is>
      </c>
      <c r="D160" s="8" t="inlineStr">
        <is>
          <t>Somebody has to stay and turn the lights off.</t>
        </is>
      </c>
      <c r="E160" s="8" t="inlineStr">
        <is>
          <t>WEAK</t>
        </is>
      </c>
      <c r="F160" s="8" t="n">
        <v>1</v>
      </c>
      <c r="G160" s="8" t="inlineStr"/>
    </row>
    <row r="161">
      <c r="A161" s="8" t="inlineStr">
        <is>
          <t>JOY</t>
        </is>
      </c>
      <c r="B161" s="8" t="inlineStr">
        <is>
          <t>The Last Round</t>
        </is>
      </c>
      <c r="C161" s="8" t="inlineStr">
        <is>
          <t>INTRO</t>
        </is>
      </c>
      <c r="D161" s="8" t="inlineStr">
        <is>
          <t>Six in the morning and the night's still GOING! Come on, one more, ONE MORE!</t>
        </is>
      </c>
      <c r="E161" s="8" t="inlineStr">
        <is>
          <t>WEAK</t>
        </is>
      </c>
      <c r="F161" s="8" t="n">
        <v>1</v>
      </c>
      <c r="G161" s="8" t="inlineStr"/>
    </row>
    <row r="162">
      <c r="A162" s="8" t="inlineStr">
        <is>
          <t>JOY</t>
        </is>
      </c>
      <c r="B162" s="8" t="inlineStr">
        <is>
          <t>The Last Round</t>
        </is>
      </c>
      <c r="C162" s="8" t="inlineStr">
        <is>
          <t>WINNING</t>
        </is>
      </c>
      <c r="D162" s="8" t="inlineStr">
        <is>
          <t>This is living! THIS IS LIVING! Where's my phone?</t>
        </is>
      </c>
      <c r="E162" s="8" t="inlineStr">
        <is>
          <t>WEAK</t>
        </is>
      </c>
      <c r="F162" s="8" t="n">
        <v>1</v>
      </c>
      <c r="G162" s="8" t="inlineStr"/>
    </row>
    <row r="163">
      <c r="A163" s="8" t="inlineStr">
        <is>
          <t>JOY</t>
        </is>
      </c>
      <c r="B163" s="8" t="inlineStr">
        <is>
          <t>The Last Round</t>
        </is>
      </c>
      <c r="C163" s="8" t="inlineStr">
        <is>
          <t>LOSING</t>
        </is>
      </c>
      <c r="D163" s="8" t="inlineStr">
        <is>
          <t>Wait — wait, has anyone got water...</t>
        </is>
      </c>
      <c r="E163" s="8" t="inlineStr">
        <is>
          <t>WEAK</t>
        </is>
      </c>
      <c r="F163" s="8" t="n">
        <v>1</v>
      </c>
      <c r="G163" s="8" t="inlineStr"/>
    </row>
    <row r="164">
      <c r="A164" s="8" t="inlineStr">
        <is>
          <t>JOY</t>
        </is>
      </c>
      <c r="B164" s="8" t="inlineStr">
        <is>
          <t>The Last Round</t>
        </is>
      </c>
      <c r="C164" s="8" t="inlineStr">
        <is>
          <t>DEFEAT</t>
        </is>
      </c>
      <c r="D164" s="8" t="inlineStr">
        <is>
          <t>I'll be fine. I've got work at nine. I'll be fine.</t>
        </is>
      </c>
      <c r="E164" s="8" t="inlineStr">
        <is>
          <t>WEAK</t>
        </is>
      </c>
      <c r="F164" s="8" t="n">
        <v>1</v>
      </c>
      <c r="G164" s="8" t="inlineStr"/>
    </row>
    <row r="165">
      <c r="A165" s="8" t="inlineStr">
        <is>
          <t>JOY</t>
        </is>
      </c>
      <c r="B165" s="8" t="inlineStr">
        <is>
          <t>The Hen Party</t>
        </is>
      </c>
      <c r="C165" s="8" t="inlineStr">
        <is>
          <t>INTRO</t>
        </is>
      </c>
      <c r="D165" s="8" t="inlineStr">
        <is>
          <t>Eleven of us, matching sashes, and NOBODY is going home sad tonight!</t>
        </is>
      </c>
      <c r="E165" s="8" t="inlineStr">
        <is>
          <t>WEAK</t>
        </is>
      </c>
      <c r="F165" s="8" t="n">
        <v>1</v>
      </c>
      <c r="G165" s="8" t="inlineStr"/>
    </row>
    <row r="166">
      <c r="A166" s="8" t="inlineStr">
        <is>
          <t>JOY</t>
        </is>
      </c>
      <c r="B166" s="8" t="inlineStr">
        <is>
          <t>The Hen Party</t>
        </is>
      </c>
      <c r="C166" s="8" t="inlineStr">
        <is>
          <t>WINNING</t>
        </is>
      </c>
      <c r="D166" s="8" t="inlineStr">
        <is>
          <t>Smile! SMILE! It's meant to be the best day of her life!</t>
        </is>
      </c>
      <c r="E166" s="8" t="inlineStr">
        <is>
          <t>WEAK</t>
        </is>
      </c>
      <c r="F166" s="8" t="n">
        <v>1</v>
      </c>
      <c r="G166" s="8" t="inlineStr"/>
    </row>
    <row r="167">
      <c r="A167" s="8" t="inlineStr">
        <is>
          <t>JOY</t>
        </is>
      </c>
      <c r="B167" s="8" t="inlineStr">
        <is>
          <t>The Hen Party</t>
        </is>
      </c>
      <c r="C167" s="8" t="inlineStr">
        <is>
          <t>LOSING</t>
        </is>
      </c>
      <c r="D167" s="8" t="inlineStr">
        <is>
          <t>Where's Marta? Has anyone seen Marta?</t>
        </is>
      </c>
      <c r="E167" s="8" t="inlineStr">
        <is>
          <t>WEAK</t>
        </is>
      </c>
      <c r="F167" s="8" t="n">
        <v>1</v>
      </c>
      <c r="G167" s="8" t="inlineStr"/>
    </row>
    <row r="168">
      <c r="A168" s="8" t="inlineStr">
        <is>
          <t>JOY</t>
        </is>
      </c>
      <c r="B168" s="8" t="inlineStr">
        <is>
          <t>The Hen Party</t>
        </is>
      </c>
      <c r="C168" s="8" t="inlineStr">
        <is>
          <t>DEFEAT</t>
        </is>
      </c>
      <c r="D168" s="8" t="inlineStr">
        <is>
          <t>She cried in the toilets for an hour. We got the photos though.</t>
        </is>
      </c>
      <c r="E168" s="8" t="inlineStr">
        <is>
          <t>WEAK</t>
        </is>
      </c>
      <c r="F168" s="8" t="n">
        <v>1</v>
      </c>
      <c r="G168" s="8" t="inlineStr"/>
    </row>
    <row r="169">
      <c r="A169" s="8" t="inlineStr">
        <is>
          <t>JOY</t>
        </is>
      </c>
      <c r="B169" s="8" t="inlineStr">
        <is>
          <t>The Busker</t>
        </is>
      </c>
      <c r="C169" s="8" t="inlineStr">
        <is>
          <t>INTRO</t>
        </is>
      </c>
      <c r="D169" s="8" t="inlineStr">
        <is>
          <t>Same four chords for nine years and the carriage still claps! Listen!</t>
        </is>
      </c>
      <c r="E169" s="8" t="inlineStr">
        <is>
          <t>WEAK</t>
        </is>
      </c>
      <c r="F169" s="8" t="n">
        <v>1</v>
      </c>
      <c r="G169" s="8" t="inlineStr"/>
    </row>
    <row r="170">
      <c r="A170" s="8" t="inlineStr">
        <is>
          <t>JOY</t>
        </is>
      </c>
      <c r="B170" s="8" t="inlineStr">
        <is>
          <t>The Busker</t>
        </is>
      </c>
      <c r="C170" s="8" t="inlineStr">
        <is>
          <t>WINNING</t>
        </is>
      </c>
      <c r="D170" s="8" t="inlineStr">
        <is>
          <t>They're LOVING this! Look at them! They're loving it!</t>
        </is>
      </c>
      <c r="E170" s="8" t="inlineStr">
        <is>
          <t>WEAK</t>
        </is>
      </c>
      <c r="F170" s="8" t="n">
        <v>1</v>
      </c>
      <c r="G170" s="8" t="inlineStr"/>
    </row>
    <row r="171">
      <c r="A171" s="8" t="inlineStr">
        <is>
          <t>JOY</t>
        </is>
      </c>
      <c r="B171" s="8" t="inlineStr">
        <is>
          <t>The Busker</t>
        </is>
      </c>
      <c r="C171" s="8" t="inlineStr">
        <is>
          <t>LOSING</t>
        </is>
      </c>
      <c r="D171" s="8" t="inlineStr">
        <is>
          <t>Two euros. Whole carriage. Two euros...</t>
        </is>
      </c>
      <c r="E171" s="8" t="inlineStr">
        <is>
          <t>WEAK</t>
        </is>
      </c>
      <c r="F171" s="8" t="n">
        <v>1</v>
      </c>
      <c r="G171" s="8" t="inlineStr"/>
    </row>
    <row r="172">
      <c r="A172" s="8" t="inlineStr">
        <is>
          <t>JOY</t>
        </is>
      </c>
      <c r="B172" s="8" t="inlineStr">
        <is>
          <t>The Busker</t>
        </is>
      </c>
      <c r="C172" s="8" t="inlineStr">
        <is>
          <t>DEFEAT</t>
        </is>
      </c>
      <c r="D172" s="8" t="inlineStr">
        <is>
          <t>Next stop's better. Next stop's always better.</t>
        </is>
      </c>
      <c r="E172" s="8" t="inlineStr">
        <is>
          <t>WEAK</t>
        </is>
      </c>
      <c r="F172" s="8" t="n">
        <v>1</v>
      </c>
      <c r="G172" s="8" t="inlineStr"/>
    </row>
    <row r="173">
      <c r="A173" s="8" t="inlineStr">
        <is>
          <t>JOY</t>
        </is>
      </c>
      <c r="B173" s="8" t="inlineStr">
        <is>
          <t>The Cruise Ship</t>
        </is>
      </c>
      <c r="C173" s="8" t="inlineStr">
        <is>
          <t>INTRO</t>
        </is>
      </c>
      <c r="D173" s="8" t="inlineStr">
        <is>
          <t>Six thousand of us and eleven hours ashore! Where's the cathedral? WHERE IS IT?</t>
        </is>
      </c>
      <c r="E173" s="8" t="inlineStr">
        <is>
          <t>STRONG</t>
        </is>
      </c>
      <c r="F173" s="8" t="n">
        <v>1</v>
      </c>
      <c r="G173" s="8" t="inlineStr"/>
    </row>
    <row r="174">
      <c r="A174" s="8" t="inlineStr">
        <is>
          <t>JOY</t>
        </is>
      </c>
      <c r="B174" s="8" t="inlineStr">
        <is>
          <t>The Cruise Ship</t>
        </is>
      </c>
      <c r="C174" s="8" t="inlineStr">
        <is>
          <t>WINNING</t>
        </is>
      </c>
      <c r="D174" s="8" t="inlineStr">
        <is>
          <t>We are VERY good for this city. Everybody says so. EVERYBODY.</t>
        </is>
      </c>
      <c r="E174" s="8" t="inlineStr">
        <is>
          <t>STRONG</t>
        </is>
      </c>
      <c r="F174" s="8" t="n">
        <v>1</v>
      </c>
      <c r="G174" s="8" t="inlineStr"/>
    </row>
    <row r="175">
      <c r="A175" s="8" t="inlineStr">
        <is>
          <t>JOY</t>
        </is>
      </c>
      <c r="B175" s="8" t="inlineStr">
        <is>
          <t>The Cruise Ship</t>
        </is>
      </c>
      <c r="C175" s="8" t="inlineStr">
        <is>
          <t>LOSING</t>
        </is>
      </c>
      <c r="D175" s="8" t="inlineStr">
        <is>
          <t>The horn went. That was the horn. Which way was the port—</t>
        </is>
      </c>
      <c r="E175" s="8" t="inlineStr">
        <is>
          <t>STRONG</t>
        </is>
      </c>
      <c r="F175" s="8" t="n">
        <v>1</v>
      </c>
      <c r="G175" s="8" t="inlineStr"/>
    </row>
    <row r="176">
      <c r="A176" s="8" t="inlineStr">
        <is>
          <t>JOY</t>
        </is>
      </c>
      <c r="B176" s="8" t="inlineStr">
        <is>
          <t>The Cruise Ship</t>
        </is>
      </c>
      <c r="C176" s="8" t="inlineStr">
        <is>
          <t>DEFEAT</t>
        </is>
      </c>
      <c r="D176" s="8" t="inlineStr">
        <is>
          <t>Barcelona was lovely. What was it called again?</t>
        </is>
      </c>
      <c r="E176" s="8" t="inlineStr">
        <is>
          <t>STRONG</t>
        </is>
      </c>
      <c r="F176" s="8" t="n">
        <v>1</v>
      </c>
      <c r="G176" s="8" t="inlineStr"/>
    </row>
    <row r="177">
      <c r="A177" s="8" t="inlineStr">
        <is>
          <t>JOY</t>
        </is>
      </c>
      <c r="B177" s="8" t="inlineStr">
        <is>
          <t>The Verbena</t>
        </is>
      </c>
      <c r="C177" s="8" t="inlineStr">
        <is>
          <t>INTRO</t>
        </is>
      </c>
      <c r="D177" s="8" t="inlineStr">
        <is>
          <t>Sant Joan! Nobody sleeps tonight! NOBODY SLEEPS, you hear me?!</t>
        </is>
      </c>
      <c r="E177" s="8" t="inlineStr">
        <is>
          <t>STRONG</t>
        </is>
      </c>
      <c r="F177" s="8" t="n">
        <v>1</v>
      </c>
      <c r="G177" s="8" t="inlineStr"/>
    </row>
    <row r="178">
      <c r="A178" s="8" t="inlineStr">
        <is>
          <t>JOY</t>
        </is>
      </c>
      <c r="B178" s="8" t="inlineStr">
        <is>
          <t>The Verbena</t>
        </is>
      </c>
      <c r="C178" s="8" t="inlineStr">
        <is>
          <t>WINNING</t>
        </is>
      </c>
      <c r="D178" s="8" t="inlineStr">
        <is>
          <t>Another one! Light another one! The whole street is ours till six!</t>
        </is>
      </c>
      <c r="E178" s="8" t="inlineStr">
        <is>
          <t>STRONG</t>
        </is>
      </c>
      <c r="F178" s="8" t="n">
        <v>1</v>
      </c>
      <c r="G178" s="8" t="inlineStr"/>
    </row>
    <row r="179">
      <c r="A179" s="8" t="inlineStr">
        <is>
          <t>JOY</t>
        </is>
      </c>
      <c r="B179" s="8" t="inlineStr">
        <is>
          <t>The Verbena</t>
        </is>
      </c>
      <c r="C179" s="8" t="inlineStr">
        <is>
          <t>LOSING</t>
        </is>
      </c>
      <c r="D179" s="8" t="inlineStr">
        <is>
          <t>Somebody's balcony is on fire. Somebody's balcony is ON FIRE.</t>
        </is>
      </c>
      <c r="E179" s="8" t="inlineStr">
        <is>
          <t>STRONG</t>
        </is>
      </c>
      <c r="F179" s="8" t="n">
        <v>1</v>
      </c>
      <c r="G179" s="8" t="inlineStr"/>
    </row>
    <row r="180">
      <c r="A180" s="8" t="inlineStr">
        <is>
          <t>JOY</t>
        </is>
      </c>
      <c r="B180" s="8" t="inlineStr">
        <is>
          <t>The Verbena</t>
        </is>
      </c>
      <c r="C180" s="8" t="inlineStr">
        <is>
          <t>DEFEAT</t>
        </is>
      </c>
      <c r="D180" s="8" t="inlineStr">
        <is>
          <t>Every year. Every single year, and it is always worth it.</t>
        </is>
      </c>
      <c r="E180" s="8" t="inlineStr">
        <is>
          <t>STRONG</t>
        </is>
      </c>
      <c r="F180" s="8" t="n">
        <v>1</v>
      </c>
      <c r="G180" s="8" t="inlineStr"/>
    </row>
    <row r="181">
      <c r="A181" s="8" t="inlineStr">
        <is>
          <t>JOY</t>
        </is>
      </c>
      <c r="B181" s="8" t="inlineStr">
        <is>
          <t>The Sold-Out Show</t>
        </is>
      </c>
      <c r="C181" s="8" t="inlineStr">
        <is>
          <t>INTRO</t>
        </is>
      </c>
      <c r="D181" s="8" t="inlineStr">
        <is>
          <t>Front row, both nights, and I have not stopped smiling since MARCH!</t>
        </is>
      </c>
      <c r="E181" s="8" t="inlineStr">
        <is>
          <t>STRONG</t>
        </is>
      </c>
      <c r="F181" s="8" t="n">
        <v>1</v>
      </c>
      <c r="G181" s="8" t="inlineStr"/>
    </row>
    <row r="182">
      <c r="A182" s="8" t="inlineStr">
        <is>
          <t>JOY</t>
        </is>
      </c>
      <c r="B182" s="8" t="inlineStr">
        <is>
          <t>The Sold-Out Show</t>
        </is>
      </c>
      <c r="C182" s="8" t="inlineStr">
        <is>
          <t>WINNING</t>
        </is>
      </c>
      <c r="D182" s="8" t="inlineStr">
        <is>
          <t>You weren't there. You'll never know. I'm sorry, but you'll never know.</t>
        </is>
      </c>
      <c r="E182" s="8" t="inlineStr">
        <is>
          <t>STRONG</t>
        </is>
      </c>
      <c r="F182" s="8" t="n">
        <v>1</v>
      </c>
      <c r="G182" s="8" t="inlineStr"/>
    </row>
    <row r="183">
      <c r="A183" s="8" t="inlineStr">
        <is>
          <t>JOY</t>
        </is>
      </c>
      <c r="B183" s="8" t="inlineStr">
        <is>
          <t>The Sold-Out Show</t>
        </is>
      </c>
      <c r="C183" s="8" t="inlineStr">
        <is>
          <t>LOSING</t>
        </is>
      </c>
      <c r="D183" s="8" t="inlineStr">
        <is>
          <t>It's nearly over. It's nearly over and then what—</t>
        </is>
      </c>
      <c r="E183" s="8" t="inlineStr">
        <is>
          <t>STRONG</t>
        </is>
      </c>
      <c r="F183" s="8" t="n">
        <v>1</v>
      </c>
      <c r="G183" s="8" t="inlineStr"/>
    </row>
    <row r="184">
      <c r="A184" s="8" t="inlineStr">
        <is>
          <t>JOY</t>
        </is>
      </c>
      <c r="B184" s="8" t="inlineStr">
        <is>
          <t>The Sold-Out Show</t>
        </is>
      </c>
      <c r="C184" s="8" t="inlineStr">
        <is>
          <t>DEFEAT</t>
        </is>
      </c>
      <c r="D184" s="8" t="inlineStr">
        <is>
          <t>Two hours. Eight hundred euros. I'd do it again tomorrow.</t>
        </is>
      </c>
      <c r="E184" s="8" t="inlineStr">
        <is>
          <t>STRONG</t>
        </is>
      </c>
      <c r="F184" s="8" t="n">
        <v>1</v>
      </c>
      <c r="G184" s="8" t="inlineStr"/>
    </row>
    <row r="185">
      <c r="A185" s="8" t="inlineStr">
        <is>
          <t>DISGUST</t>
        </is>
      </c>
      <c r="B185" s="8" t="inlineStr">
        <is>
          <t>The Damp</t>
        </is>
      </c>
      <c r="C185" s="8" t="inlineStr">
        <is>
          <t>INTRO</t>
        </is>
      </c>
      <c r="D185" s="8" t="inlineStr">
        <is>
          <t>I came through the wall in November. Nobody called anybody. Here we are.</t>
        </is>
      </c>
      <c r="E185" s="8" t="inlineStr">
        <is>
          <t>STRONG</t>
        </is>
      </c>
      <c r="F185" s="8" t="n">
        <v>1</v>
      </c>
      <c r="G185" s="8" t="inlineStr"/>
    </row>
    <row r="186">
      <c r="A186" s="8" t="inlineStr">
        <is>
          <t>DISGUST</t>
        </is>
      </c>
      <c r="B186" s="8" t="inlineStr">
        <is>
          <t>The Damp</t>
        </is>
      </c>
      <c r="C186" s="8" t="inlineStr">
        <is>
          <t>WINNING</t>
        </is>
      </c>
      <c r="D186" s="8" t="inlineStr">
        <is>
          <t>Everything you own smells of me now. Everything. Even the clean things.</t>
        </is>
      </c>
      <c r="E186" s="8" t="inlineStr">
        <is>
          <t>STRONG</t>
        </is>
      </c>
      <c r="F186" s="8" t="n">
        <v>1</v>
      </c>
      <c r="G186" s="8" t="inlineStr"/>
    </row>
    <row r="187">
      <c r="A187" s="8" t="inlineStr">
        <is>
          <t>DISGUST</t>
        </is>
      </c>
      <c r="B187" s="8" t="inlineStr">
        <is>
          <t>The Damp</t>
        </is>
      </c>
      <c r="C187" s="8" t="inlineStr">
        <is>
          <t>LOSING</t>
        </is>
      </c>
      <c r="D187" s="8" t="inlineStr">
        <is>
          <t>Air it out, then. Go on. Open every window you've got.</t>
        </is>
      </c>
      <c r="E187" s="8" t="inlineStr">
        <is>
          <t>STRONG</t>
        </is>
      </c>
      <c r="F187" s="8" t="n">
        <v>1</v>
      </c>
      <c r="G187" s="8" t="inlineStr"/>
    </row>
    <row r="188">
      <c r="A188" s="8" t="inlineStr">
        <is>
          <t>DISGUST</t>
        </is>
      </c>
      <c r="B188" s="8" t="inlineStr">
        <is>
          <t>The Damp</t>
        </is>
      </c>
      <c r="C188" s="8" t="inlineStr">
        <is>
          <t>DEFEAT</t>
        </is>
      </c>
      <c r="D188" s="8" t="inlineStr">
        <is>
          <t>I'll be back up the same wall by Christmas. I always am.</t>
        </is>
      </c>
      <c r="E188" s="8" t="inlineStr">
        <is>
          <t>STRONG</t>
        </is>
      </c>
      <c r="F188" s="8" t="n">
        <v>1</v>
      </c>
      <c r="G188" s="8" t="inlineStr"/>
    </row>
    <row r="189">
      <c r="A189" s="8" t="inlineStr">
        <is>
          <t>DISGUST</t>
        </is>
      </c>
      <c r="B189" s="8" t="inlineStr">
        <is>
          <t>The Backed-Up Drain</t>
        </is>
      </c>
      <c r="C189" s="8" t="inlineStr">
        <is>
          <t>INTRO</t>
        </is>
      </c>
      <c r="D189" s="8" t="inlineStr">
        <is>
          <t>Six flats share me and not one of them will admit what they put down here.</t>
        </is>
      </c>
      <c r="E189" s="8" t="inlineStr">
        <is>
          <t>STRONG</t>
        </is>
      </c>
      <c r="F189" s="8" t="n">
        <v>1</v>
      </c>
      <c r="G189" s="8" t="inlineStr"/>
    </row>
    <row r="190">
      <c r="A190" s="8" t="inlineStr">
        <is>
          <t>DISGUST</t>
        </is>
      </c>
      <c r="B190" s="8" t="inlineStr">
        <is>
          <t>The Backed-Up Drain</t>
        </is>
      </c>
      <c r="C190" s="8" t="inlineStr">
        <is>
          <t>WINNING</t>
        </is>
      </c>
      <c r="D190" s="8" t="inlineStr">
        <is>
          <t>It is coming back up the sink now. It is coming back UP.</t>
        </is>
      </c>
      <c r="E190" s="8" t="inlineStr">
        <is>
          <t>STRONG</t>
        </is>
      </c>
      <c r="F190" s="8" t="n">
        <v>1</v>
      </c>
      <c r="G190" s="8" t="inlineStr"/>
    </row>
    <row r="191">
      <c r="A191" s="8" t="inlineStr">
        <is>
          <t>DISGUST</t>
        </is>
      </c>
      <c r="B191" s="8" t="inlineStr">
        <is>
          <t>The Backed-Up Drain</t>
        </is>
      </c>
      <c r="C191" s="8" t="inlineStr">
        <is>
          <t>LOSING</t>
        </is>
      </c>
      <c r="D191" s="8" t="inlineStr">
        <is>
          <t>Fine — bleach me. See how long that lasts.</t>
        </is>
      </c>
      <c r="E191" s="8" t="inlineStr">
        <is>
          <t>STRONG</t>
        </is>
      </c>
      <c r="F191" s="8" t="n">
        <v>1</v>
      </c>
      <c r="G191" s="8" t="inlineStr"/>
    </row>
    <row r="192">
      <c r="A192" s="8" t="inlineStr">
        <is>
          <t>DISGUST</t>
        </is>
      </c>
      <c r="B192" s="8" t="inlineStr">
        <is>
          <t>The Backed-Up Drain</t>
        </is>
      </c>
      <c r="C192" s="8" t="inlineStr">
        <is>
          <t>DEFEAT</t>
        </is>
      </c>
      <c r="D192" s="8" t="inlineStr">
        <is>
          <t>You have not fixed anything. You have moved it four metres.</t>
        </is>
      </c>
      <c r="E192" s="8" t="inlineStr">
        <is>
          <t>STRONG</t>
        </is>
      </c>
      <c r="F192" s="8" t="n">
        <v>1</v>
      </c>
      <c r="G192" s="8" t="inlineStr"/>
    </row>
    <row r="193">
      <c r="A193" s="8" t="inlineStr">
        <is>
          <t>DISGUST</t>
        </is>
      </c>
      <c r="B193" s="8" t="inlineStr">
        <is>
          <t>The Inspection</t>
        </is>
      </c>
      <c r="C193" s="8" t="inlineStr">
        <is>
          <t>INTRO</t>
        </is>
      </c>
      <c r="D193" s="8" t="inlineStr">
        <is>
          <t>Unfit. That is the word. I do not have to explain the word.</t>
        </is>
      </c>
      <c r="E193" s="8" t="inlineStr">
        <is>
          <t>STRONG</t>
        </is>
      </c>
      <c r="F193" s="8" t="n">
        <v>1</v>
      </c>
      <c r="G193" s="8" t="inlineStr"/>
    </row>
    <row r="194">
      <c r="A194" s="8" t="inlineStr">
        <is>
          <t>DISGUST</t>
        </is>
      </c>
      <c r="B194" s="8" t="inlineStr">
        <is>
          <t>The Inspection</t>
        </is>
      </c>
      <c r="C194" s="8" t="inlineStr">
        <is>
          <t>WINNING</t>
        </is>
      </c>
      <c r="D194" s="8" t="inlineStr">
        <is>
          <t>There is a form for this and you filled it in wrong in 2019.</t>
        </is>
      </c>
      <c r="E194" s="8" t="inlineStr">
        <is>
          <t>STRONG</t>
        </is>
      </c>
      <c r="F194" s="8" t="n">
        <v>1</v>
      </c>
      <c r="G194" s="8" t="inlineStr"/>
    </row>
    <row r="195">
      <c r="A195" s="8" t="inlineStr">
        <is>
          <t>DISGUST</t>
        </is>
      </c>
      <c r="B195" s="8" t="inlineStr">
        <is>
          <t>The Inspection</t>
        </is>
      </c>
      <c r="C195" s="8" t="inlineStr">
        <is>
          <t>LOSING</t>
        </is>
      </c>
      <c r="D195" s="8" t="inlineStr">
        <is>
          <t>My office closes at two. This is not my problem at two.</t>
        </is>
      </c>
      <c r="E195" s="8" t="inlineStr">
        <is>
          <t>STRONG</t>
        </is>
      </c>
      <c r="F195" s="8" t="n">
        <v>1</v>
      </c>
      <c r="G195" s="8" t="inlineStr"/>
    </row>
    <row r="196">
      <c r="A196" s="8" t="inlineStr">
        <is>
          <t>DISGUST</t>
        </is>
      </c>
      <c r="B196" s="8" t="inlineStr">
        <is>
          <t>The Inspection</t>
        </is>
      </c>
      <c r="C196" s="8" t="inlineStr">
        <is>
          <t>DEFEAT</t>
        </is>
      </c>
      <c r="D196" s="8" t="inlineStr">
        <is>
          <t>Reapply in the spring. Somebody else will say no in the spring.</t>
        </is>
      </c>
      <c r="E196" s="8" t="inlineStr">
        <is>
          <t>STRONG</t>
        </is>
      </c>
      <c r="F196" s="8" t="n">
        <v>1</v>
      </c>
      <c r="G196" s="8" t="inlineStr"/>
    </row>
    <row r="197">
      <c r="A197" s="8" t="inlineStr">
        <is>
          <t>ANGER</t>
        </is>
      </c>
      <c r="B197" s="8" t="inlineStr">
        <is>
          <t>The Terminus</t>
        </is>
      </c>
      <c r="C197" s="8" t="inlineStr">
        <is>
          <t>INTRO</t>
        </is>
      </c>
      <c r="D197" s="8" t="inlineStr">
        <is>
          <t>End of the line. Everybody off. EVERYBODY OFF, I said!</t>
        </is>
      </c>
      <c r="E197" s="8" t="inlineStr">
        <is>
          <t>BOSS</t>
        </is>
      </c>
      <c r="F197" s="8" t="n">
        <v>1</v>
      </c>
      <c r="G197" s="8" t="inlineStr"/>
    </row>
    <row r="198">
      <c r="A198" s="8" t="inlineStr">
        <is>
          <t>ANGER</t>
        </is>
      </c>
      <c r="B198" s="8" t="inlineStr">
        <is>
          <t>The Terminus</t>
        </is>
      </c>
      <c r="C198" s="8" t="inlineStr">
        <is>
          <t>WINNING</t>
        </is>
      </c>
      <c r="D198" s="8" t="inlineStr">
        <is>
          <t>Forty years I've turned this train around. You'll not be the one that stops me.</t>
        </is>
      </c>
      <c r="E198" s="8" t="inlineStr">
        <is>
          <t>BOSS</t>
        </is>
      </c>
      <c r="F198" s="8" t="n">
        <v>1</v>
      </c>
      <c r="G198" s="8" t="inlineStr"/>
    </row>
    <row r="199">
      <c r="A199" s="8" t="inlineStr">
        <is>
          <t>ANGER</t>
        </is>
      </c>
      <c r="B199" s="8" t="inlineStr">
        <is>
          <t>The Terminus</t>
        </is>
      </c>
      <c r="C199" s="8" t="inlineStr">
        <is>
          <t>LOSING</t>
        </is>
      </c>
      <c r="D199" s="8" t="inlineStr">
        <is>
          <t>There's no more track. There's no more TRACK!</t>
        </is>
      </c>
      <c r="E199" s="8" t="inlineStr">
        <is>
          <t>BOSS</t>
        </is>
      </c>
      <c r="F199" s="8" t="n">
        <v>1</v>
      </c>
      <c r="G199" s="8" t="inlineStr"/>
    </row>
    <row r="200">
      <c r="A200" s="8" t="inlineStr">
        <is>
          <t>ANGER</t>
        </is>
      </c>
      <c r="B200" s="8" t="inlineStr">
        <is>
          <t>The Terminus</t>
        </is>
      </c>
      <c r="C200" s="8" t="inlineStr">
        <is>
          <t>DEFEAT</t>
        </is>
      </c>
      <c r="D200" s="8" t="inlineStr">
        <is>
          <t>Somebody has to be here when it ends. It was always going to be me.</t>
        </is>
      </c>
      <c r="E200" s="8" t="inlineStr">
        <is>
          <t>BOSS</t>
        </is>
      </c>
      <c r="F200" s="8" t="n">
        <v>1</v>
      </c>
      <c r="G200" s="8" t="inlineStr"/>
    </row>
    <row r="201">
      <c r="A201" s="8" t="inlineStr">
        <is>
          <t>SURPRISE</t>
        </is>
      </c>
      <c r="B201" s="8" t="inlineStr">
        <is>
          <t>The Comedown</t>
        </is>
      </c>
      <c r="C201" s="8" t="inlineStr">
        <is>
          <t>INTRO</t>
        </is>
      </c>
      <c r="D201" s="8" t="inlineStr">
        <is>
          <t>Wait. Wait — what time is it? What DAY is it? Who let the light in?!</t>
        </is>
      </c>
      <c r="E201" s="8" t="inlineStr">
        <is>
          <t>BOSS</t>
        </is>
      </c>
      <c r="F201" s="8" t="n">
        <v>1</v>
      </c>
      <c r="G201" s="8" t="inlineStr"/>
    </row>
    <row r="202">
      <c r="A202" s="8" t="inlineStr">
        <is>
          <t>SURPRISE</t>
        </is>
      </c>
      <c r="B202" s="8" t="inlineStr">
        <is>
          <t>The Comedown</t>
        </is>
      </c>
      <c r="C202" s="8" t="inlineStr">
        <is>
          <t>WINNING</t>
        </is>
      </c>
      <c r="D202" s="8" t="inlineStr">
        <is>
          <t>It's not over! It was never over! One more, come on, ONE MORE!</t>
        </is>
      </c>
      <c r="E202" s="8" t="inlineStr">
        <is>
          <t>BOSS</t>
        </is>
      </c>
      <c r="F202" s="8" t="n">
        <v>1</v>
      </c>
      <c r="G202" s="8" t="inlineStr"/>
    </row>
    <row r="203">
      <c r="A203" s="8" t="inlineStr">
        <is>
          <t>SURPRISE</t>
        </is>
      </c>
      <c r="B203" s="8" t="inlineStr">
        <is>
          <t>The Comedown</t>
        </is>
      </c>
      <c r="C203" s="8" t="inlineStr">
        <is>
          <t>LOSING</t>
        </is>
      </c>
      <c r="D203" s="8" t="inlineStr">
        <is>
          <t>My heart's doing something. My heart's doing something wrong—</t>
        </is>
      </c>
      <c r="E203" s="8" t="inlineStr">
        <is>
          <t>BOSS</t>
        </is>
      </c>
      <c r="F203" s="8" t="n">
        <v>1</v>
      </c>
      <c r="G203" s="8" t="inlineStr"/>
    </row>
    <row r="204">
      <c r="A204" s="8" t="inlineStr">
        <is>
          <t>SURPRISE</t>
        </is>
      </c>
      <c r="B204" s="8" t="inlineStr">
        <is>
          <t>The Comedown</t>
        </is>
      </c>
      <c r="C204" s="8" t="inlineStr">
        <is>
          <t>DEFEAT</t>
        </is>
      </c>
      <c r="D204" s="8" t="inlineStr">
        <is>
          <t>Take it. Take the lot. I never want to feel that good again.</t>
        </is>
      </c>
      <c r="E204" s="8" t="inlineStr">
        <is>
          <t>BOSS</t>
        </is>
      </c>
      <c r="F204" s="8" t="n">
        <v>1</v>
      </c>
      <c r="G204" s="8" t="inlineStr"/>
    </row>
    <row r="205">
      <c r="A205" s="8" t="inlineStr">
        <is>
          <t>JOY</t>
        </is>
      </c>
      <c r="B205" s="8" t="inlineStr">
        <is>
          <t>The Line Manager</t>
        </is>
      </c>
      <c r="C205" s="8" t="inlineStr">
        <is>
          <t>INTRO</t>
        </is>
      </c>
      <c r="D205" s="8" t="inlineStr">
        <is>
          <t>Ohmygod hiii! Okay so — you're kind of ruining the vibe right now? Smile.</t>
        </is>
      </c>
      <c r="E205" s="8" t="inlineStr">
        <is>
          <t>BOSS</t>
        </is>
      </c>
      <c r="F205" s="8" t="n">
        <v>1</v>
      </c>
      <c r="G205" s="8" t="inlineStr"/>
    </row>
    <row r="206">
      <c r="A206" s="8" t="inlineStr">
        <is>
          <t>JOY</t>
        </is>
      </c>
      <c r="B206" s="8" t="inlineStr">
        <is>
          <t>The Line Manager</t>
        </is>
      </c>
      <c r="C206" s="8" t="inlineStr">
        <is>
          <t>WINNING</t>
        </is>
      </c>
      <c r="D206" s="8" t="inlineStr">
        <is>
          <t>This city is literally MY brunch and you are literally not invited!</t>
        </is>
      </c>
      <c r="E206" s="8" t="inlineStr">
        <is>
          <t>BOSS</t>
        </is>
      </c>
      <c r="F206" s="8" t="n">
        <v>1</v>
      </c>
      <c r="G206" s="8" t="inlineStr"/>
    </row>
    <row r="207">
      <c r="A207" s="8" t="inlineStr">
        <is>
          <t>JOY</t>
        </is>
      </c>
      <c r="B207" s="8" t="inlineStr">
        <is>
          <t>The Line Manager</t>
        </is>
      </c>
      <c r="C207" s="8" t="inlineStr">
        <is>
          <t>LOSING</t>
        </is>
      </c>
      <c r="D207" s="8" t="inlineStr">
        <is>
          <t>No no no, this isn't — I don't DO bad days. Somebody fix this. FIX IT!</t>
        </is>
      </c>
      <c r="E207" s="8" t="inlineStr">
        <is>
          <t>BOSS</t>
        </is>
      </c>
      <c r="F207" s="8" t="n">
        <v>1</v>
      </c>
      <c r="G207" s="8" t="inlineStr"/>
    </row>
    <row r="208">
      <c r="A208" s="8" t="inlineStr">
        <is>
          <t>JOY</t>
        </is>
      </c>
      <c r="B208" s="8" t="inlineStr">
        <is>
          <t>The Line Manager</t>
        </is>
      </c>
      <c r="C208" s="8" t="inlineStr">
        <is>
          <t>DEFEAT</t>
        </is>
      </c>
      <c r="D208" s="8" t="inlineStr">
        <is>
          <t>Fine. FINE. Keep your stupid little line. I'm moving to Lisbon anyway.</t>
        </is>
      </c>
      <c r="E208" s="8" t="inlineStr">
        <is>
          <t>BOSS</t>
        </is>
      </c>
      <c r="F208" s="8" t="n">
        <v>1</v>
      </c>
      <c r="G208" s="8" t="inlineStr"/>
    </row>
    <row r="209">
      <c r="A209" s="8" t="inlineStr">
        <is>
          <t>JOY</t>
        </is>
      </c>
      <c r="B209" s="8" t="inlineStr">
        <is>
          <t>The Line Manager</t>
        </is>
      </c>
      <c r="C209" s="8" t="inlineStr">
        <is>
          <t>PHASE2</t>
        </is>
      </c>
      <c r="D209" s="8" t="inlineStr">
        <is>
          <t>You don't GET it. You can't beat me — I AM the good time. I am every rooftop in this city. I AM JOY.</t>
        </is>
      </c>
      <c r="E209" s="8" t="inlineStr">
        <is>
          <t>BOSS</t>
        </is>
      </c>
      <c r="F209" s="8" t="n">
        <v>1</v>
      </c>
      <c r="G209" s="8" t="inlineStr"/>
    </row>
    <row r="210">
      <c r="A210" s="8" t="inlineStr">
        <is>
          <t>JOY</t>
        </is>
      </c>
      <c r="B210" s="8" t="inlineStr">
        <is>
          <t>The Line Manager</t>
        </is>
      </c>
      <c r="C210" s="8" t="inlineStr">
        <is>
          <t>DEFEAT2</t>
        </is>
      </c>
      <c r="D210" s="8" t="inlineStr">
        <is>
          <t>...it was such a good year. It was such a good, good year.</t>
        </is>
      </c>
      <c r="E210" s="8" t="inlineStr">
        <is>
          <t>BOSS</t>
        </is>
      </c>
      <c r="F210" s="8" t="n">
        <v>1</v>
      </c>
      <c r="G210" s="8" t="inlineStr"/>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40" customWidth="1" min="2" max="2"/>
    <col width="12" customWidth="1" min="3" max="3"/>
    <col width="11" customWidth="1" min="4" max="4"/>
  </cols>
  <sheetData>
    <row r="1">
      <c r="A1" s="4" t="inlineStr">
        <is>
          <t>The cue above the attack line. One is picked at random each turn.</t>
        </is>
      </c>
    </row>
    <row r="3">
      <c r="A3" s="5" t="inlineStr">
        <is>
          <t>id</t>
        </is>
      </c>
      <c r="B3" s="5" t="inlineStr">
        <is>
          <t>text</t>
        </is>
      </c>
      <c r="C3" s="5" t="inlineStr">
        <is>
          <t>enabled</t>
        </is>
      </c>
      <c r="D3" s="5" t="inlineStr">
        <is>
          <t>notes</t>
        </is>
      </c>
    </row>
    <row r="4">
      <c r="A4" s="6" t="inlineStr">
        <is>
          <t>LIVE</t>
        </is>
      </c>
      <c r="B4" s="6" t="inlineStr">
        <is>
          <t>LIVE</t>
        </is>
      </c>
      <c r="C4" s="6" t="inlineStr">
        <is>
          <t>LIVE</t>
        </is>
      </c>
      <c r="D4" s="7" t="inlineStr">
        <is>
          <t>planned</t>
        </is>
      </c>
    </row>
    <row r="5">
      <c r="A5" s="8" t="inlineStr">
        <is>
          <t>p01</t>
        </is>
      </c>
      <c r="B5" s="8" t="inlineStr">
        <is>
          <t>Whatcha gonna do?</t>
        </is>
      </c>
      <c r="C5" s="8" t="n">
        <v>1</v>
      </c>
      <c r="D5" s="8" t="inlineStr"/>
    </row>
    <row r="6">
      <c r="A6" s="8" t="inlineStr">
        <is>
          <t>p02</t>
        </is>
      </c>
      <c r="B6" s="8" t="inlineStr">
        <is>
          <t>How did that make you feel?</t>
        </is>
      </c>
      <c r="C6" s="8" t="n">
        <v>1</v>
      </c>
      <c r="D6" s="8" t="inlineStr"/>
    </row>
    <row r="7">
      <c r="A7" s="8" t="inlineStr">
        <is>
          <t>p03</t>
        </is>
      </c>
      <c r="B7" s="8" t="inlineStr">
        <is>
          <t>Act!</t>
        </is>
      </c>
      <c r="C7" s="8" t="n">
        <v>1</v>
      </c>
      <c r="D7" s="8" t="inlineStr"/>
    </row>
    <row r="8">
      <c r="A8" s="8" t="inlineStr">
        <is>
          <t>p04</t>
        </is>
      </c>
      <c r="B8" s="8" t="inlineStr">
        <is>
          <t>R U OK?</t>
        </is>
      </c>
      <c r="C8" s="8" t="n">
        <v>1</v>
      </c>
      <c r="D8" s="8" t="inlineStr"/>
    </row>
    <row r="9">
      <c r="A9" s="8" t="inlineStr">
        <is>
          <t>p05</t>
        </is>
      </c>
      <c r="B9" s="8" t="inlineStr">
        <is>
          <t>Show them.</t>
        </is>
      </c>
      <c r="C9" s="8" t="n">
        <v>1</v>
      </c>
      <c r="D9" s="8" t="inlineStr"/>
    </row>
    <row r="10">
      <c r="A10" s="8" t="inlineStr">
        <is>
          <t>p06</t>
        </is>
      </c>
      <c r="B10" s="8" t="inlineStr">
        <is>
          <t>Say something.</t>
        </is>
      </c>
      <c r="C10" s="8" t="n">
        <v>1</v>
      </c>
      <c r="D10" s="8" t="inlineStr"/>
    </row>
    <row r="11">
      <c r="A11" s="8" t="inlineStr">
        <is>
          <t>p07</t>
        </is>
      </c>
      <c r="B11" s="8" t="inlineStr">
        <is>
          <t>Your move.</t>
        </is>
      </c>
      <c r="C11" s="8" t="n">
        <v>1</v>
      </c>
      <c r="D11" s="8" t="inlineStr"/>
    </row>
    <row r="12">
      <c r="A12" s="8" t="inlineStr">
        <is>
          <t>p08</t>
        </is>
      </c>
      <c r="B12" s="8" t="inlineStr">
        <is>
          <t>Don't just stand there.</t>
        </is>
      </c>
      <c r="C12" s="8" t="n">
        <v>1</v>
      </c>
      <c r="D12" s="8" t="inlineStr"/>
    </row>
    <row r="13">
      <c r="A13" s="8" t="inlineStr">
        <is>
          <t>p09</t>
        </is>
      </c>
      <c r="B13" s="8" t="inlineStr">
        <is>
          <t>Feel it.</t>
        </is>
      </c>
      <c r="C13" s="8" t="n">
        <v>1</v>
      </c>
      <c r="D13" s="8" t="inlineStr"/>
    </row>
    <row r="14">
      <c r="A14" s="8" t="inlineStr">
        <is>
          <t>p10</t>
        </is>
      </c>
      <c r="B14" s="8" t="inlineStr">
        <is>
          <t>What now?</t>
        </is>
      </c>
      <c r="C14" s="8" t="n">
        <v>1</v>
      </c>
      <c r="D14" s="8" t="inlineStr"/>
    </row>
    <row r="15">
      <c r="A15" s="8" t="inlineStr">
        <is>
          <t>p11</t>
        </is>
      </c>
      <c r="B15" s="8" t="inlineStr">
        <is>
          <t>Answer that.</t>
        </is>
      </c>
      <c r="C15" s="8" t="n">
        <v>1</v>
      </c>
      <c r="D15" s="8" t="inlineStr"/>
    </row>
    <row r="16">
      <c r="A16" s="8" t="inlineStr">
        <is>
          <t>p12</t>
        </is>
      </c>
      <c r="B16" s="8" t="inlineStr">
        <is>
          <t>Let it out.</t>
        </is>
      </c>
      <c r="C16" s="8" t="n">
        <v>1</v>
      </c>
      <c r="D16" s="8" t="inlineStr"/>
    </row>
    <row r="17">
      <c r="A17" s="8" t="inlineStr">
        <is>
          <t>p13</t>
        </is>
      </c>
      <c r="B17" s="8" t="inlineStr">
        <is>
          <t>Breathe. Then act.</t>
        </is>
      </c>
      <c r="C17" s="8" t="n">
        <v>1</v>
      </c>
      <c r="D17" s="8" t="inlineStr"/>
    </row>
    <row r="18">
      <c r="A18" s="8" t="inlineStr">
        <is>
          <t>p14</t>
        </is>
      </c>
      <c r="B18" s="8" t="inlineStr">
        <is>
          <t>You alright?</t>
        </is>
      </c>
      <c r="C18" s="8" t="n">
        <v>1</v>
      </c>
      <c r="D18" s="8" t="inlineStr"/>
    </row>
    <row r="19">
      <c r="A19" s="8" t="inlineStr">
        <is>
          <t>p15</t>
        </is>
      </c>
      <c r="B19" s="8" t="inlineStr">
        <is>
          <t>Do something.</t>
        </is>
      </c>
      <c r="C19" s="8" t="n">
        <v>1</v>
      </c>
      <c r="D19" s="8" t="inlineStr"/>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4" customWidth="1" min="3" max="3"/>
    <col width="12" customWidth="1" min="4" max="4"/>
    <col width="54" customWidth="1" min="5" max="5"/>
    <col width="13" customWidth="1" min="6" max="6"/>
    <col width="12" customWidth="1" min="7" max="7"/>
    <col width="30" customWidth="1" min="8" max="8"/>
  </cols>
  <sheetData>
    <row r="1">
      <c r="A1" s="4" t="inlineStr">
        <is>
          <t>Title-screen mood line: "Barcelona, &lt;weekday&gt;, &lt;phrase&gt;." day is MON..SUN or * for any. Hours are Barcelona local, to_hour exclusive; a band may wrap past midnight. Highest priority wins, ties are random.</t>
        </is>
      </c>
    </row>
    <row r="3">
      <c r="A3" s="5" t="inlineStr">
        <is>
          <t>id</t>
        </is>
      </c>
      <c r="B3" s="5" t="inlineStr">
        <is>
          <t>day</t>
        </is>
      </c>
      <c r="C3" s="5" t="inlineStr">
        <is>
          <t>from_hour</t>
        </is>
      </c>
      <c r="D3" s="5" t="inlineStr">
        <is>
          <t>to_hour</t>
        </is>
      </c>
      <c r="E3" s="5" t="inlineStr">
        <is>
          <t>phrase</t>
        </is>
      </c>
      <c r="F3" s="5" t="inlineStr">
        <is>
          <t>priority</t>
        </is>
      </c>
      <c r="G3" s="5" t="inlineStr">
        <is>
          <t>enabled</t>
        </is>
      </c>
      <c r="H3" s="5" t="inlineStr">
        <is>
          <t>notes</t>
        </is>
      </c>
    </row>
    <row r="4">
      <c r="A4" s="6" t="inlineStr">
        <is>
          <t>LIVE</t>
        </is>
      </c>
      <c r="B4" s="6" t="inlineStr">
        <is>
          <t>LIVE</t>
        </is>
      </c>
      <c r="C4" s="6" t="inlineStr">
        <is>
          <t>LIVE</t>
        </is>
      </c>
      <c r="D4" s="6" t="inlineStr">
        <is>
          <t>LIVE</t>
        </is>
      </c>
      <c r="E4" s="6" t="inlineStr">
        <is>
          <t>LIVE</t>
        </is>
      </c>
      <c r="F4" s="6" t="inlineStr">
        <is>
          <t>LIVE</t>
        </is>
      </c>
      <c r="G4" s="6" t="inlineStr">
        <is>
          <t>LIVE</t>
        </is>
      </c>
      <c r="H4" s="7" t="inlineStr">
        <is>
          <t>planned</t>
        </is>
      </c>
    </row>
    <row r="5">
      <c r="A5" s="8" t="inlineStr">
        <is>
          <t>dawn_1</t>
        </is>
      </c>
      <c r="B5" s="8" t="inlineStr">
        <is>
          <t>*</t>
        </is>
      </c>
      <c r="C5" s="8" t="n">
        <v>5</v>
      </c>
      <c r="D5" s="8" t="n">
        <v>7</v>
      </c>
      <c r="E5" s="8" t="inlineStr">
        <is>
          <t>the first light is still deciding</t>
        </is>
      </c>
      <c r="F5" s="8" t="n">
        <v>0</v>
      </c>
      <c r="G5" s="8" t="n">
        <v>1</v>
      </c>
      <c r="H5" s="8" t="inlineStr"/>
    </row>
    <row r="6">
      <c r="A6" s="8" t="inlineStr">
        <is>
          <t>dawn_2</t>
        </is>
      </c>
      <c r="B6" s="8" t="inlineStr">
        <is>
          <t>*</t>
        </is>
      </c>
      <c r="C6" s="8" t="n">
        <v>5</v>
      </c>
      <c r="D6" s="8" t="n">
        <v>7</v>
      </c>
      <c r="E6" s="8" t="inlineStr">
        <is>
          <t>nobody has spoken yet today</t>
        </is>
      </c>
      <c r="F6" s="8" t="n">
        <v>0</v>
      </c>
      <c r="G6" s="8" t="n">
        <v>1</v>
      </c>
      <c r="H6" s="8" t="inlineStr"/>
    </row>
    <row r="7">
      <c r="A7" s="8" t="inlineStr">
        <is>
          <t>morn_1</t>
        </is>
      </c>
      <c r="B7" s="8" t="inlineStr">
        <is>
          <t>*</t>
        </is>
      </c>
      <c r="C7" s="8" t="n">
        <v>7</v>
      </c>
      <c r="D7" s="8" t="n">
        <v>10</v>
      </c>
      <c r="E7" s="8" t="inlineStr">
        <is>
          <t>early morning</t>
        </is>
      </c>
      <c r="F7" s="8" t="n">
        <v>0</v>
      </c>
      <c r="G7" s="8" t="n">
        <v>1</v>
      </c>
      <c r="H7" s="8" t="inlineStr"/>
    </row>
    <row r="8">
      <c r="A8" s="8" t="inlineStr">
        <is>
          <t>morn_2</t>
        </is>
      </c>
      <c r="B8" s="8" t="inlineStr">
        <is>
          <t>*</t>
        </is>
      </c>
      <c r="C8" s="8" t="n">
        <v>7</v>
      </c>
      <c r="D8" s="8" t="n">
        <v>10</v>
      </c>
      <c r="E8" s="8" t="inlineStr">
        <is>
          <t>the early carriages are full of unfinished sleep</t>
        </is>
      </c>
      <c r="F8" s="8" t="n">
        <v>0</v>
      </c>
      <c r="G8" s="8" t="n">
        <v>1</v>
      </c>
      <c r="H8" s="8" t="inlineStr"/>
    </row>
    <row r="9">
      <c r="A9" s="8" t="inlineStr">
        <is>
          <t>morn_3</t>
        </is>
      </c>
      <c r="B9" s="8" t="inlineStr">
        <is>
          <t>*</t>
        </is>
      </c>
      <c r="C9" s="8" t="n">
        <v>7</v>
      </c>
      <c r="D9" s="8" t="n">
        <v>10</v>
      </c>
      <c r="E9" s="8" t="inlineStr">
        <is>
          <t>everyone is already late</t>
        </is>
      </c>
      <c r="F9" s="8" t="n">
        <v>0</v>
      </c>
      <c r="G9" s="8" t="n">
        <v>1</v>
      </c>
      <c r="H9" s="8" t="inlineStr"/>
    </row>
    <row r="10">
      <c r="A10" s="8" t="inlineStr">
        <is>
          <t>mid_1</t>
        </is>
      </c>
      <c r="B10" s="8" t="inlineStr">
        <is>
          <t>*</t>
        </is>
      </c>
      <c r="C10" s="8" t="n">
        <v>10</v>
      </c>
      <c r="D10" s="8" t="n">
        <v>13</v>
      </c>
      <c r="E10" s="8" t="inlineStr">
        <is>
          <t>middle of the day</t>
        </is>
      </c>
      <c r="F10" s="8" t="n">
        <v>0</v>
      </c>
      <c r="G10" s="8" t="n">
        <v>1</v>
      </c>
      <c r="H10" s="8" t="inlineStr"/>
    </row>
    <row r="11">
      <c r="A11" s="8" t="inlineStr">
        <is>
          <t>mid_2</t>
        </is>
      </c>
      <c r="B11" s="8" t="inlineStr">
        <is>
          <t>*</t>
        </is>
      </c>
      <c r="C11" s="8" t="n">
        <v>10</v>
      </c>
      <c r="D11" s="8" t="n">
        <v>13</v>
      </c>
      <c r="E11" s="8" t="inlineStr">
        <is>
          <t>the light is flat and honest</t>
        </is>
      </c>
      <c r="F11" s="8" t="n">
        <v>0</v>
      </c>
      <c r="G11" s="8" t="n">
        <v>1</v>
      </c>
      <c r="H11" s="8" t="inlineStr"/>
    </row>
    <row r="12">
      <c r="A12" s="8" t="inlineStr">
        <is>
          <t>noon_1</t>
        </is>
      </c>
      <c r="B12" s="8" t="inlineStr">
        <is>
          <t>*</t>
        </is>
      </c>
      <c r="C12" s="8" t="n">
        <v>13</v>
      </c>
      <c r="D12" s="8" t="n">
        <v>16</v>
      </c>
      <c r="E12" s="8" t="inlineStr">
        <is>
          <t>all afternoon ahead</t>
        </is>
      </c>
      <c r="F12" s="8" t="n">
        <v>0</v>
      </c>
      <c r="G12" s="8" t="n">
        <v>1</v>
      </c>
      <c r="H12" s="8" t="inlineStr"/>
    </row>
    <row r="13">
      <c r="A13" s="8" t="inlineStr">
        <is>
          <t>noon_2</t>
        </is>
      </c>
      <c r="B13" s="8" t="inlineStr">
        <is>
          <t>*</t>
        </is>
      </c>
      <c r="C13" s="8" t="n">
        <v>13</v>
      </c>
      <c r="D13" s="8" t="n">
        <v>16</v>
      </c>
      <c r="E13" s="8" t="inlineStr">
        <is>
          <t>the long slow part of the day</t>
        </is>
      </c>
      <c r="F13" s="8" t="n">
        <v>0</v>
      </c>
      <c r="G13" s="8" t="n">
        <v>1</v>
      </c>
      <c r="H13" s="8" t="inlineStr"/>
    </row>
    <row r="14">
      <c r="A14" s="8" t="inlineStr">
        <is>
          <t>late_1</t>
        </is>
      </c>
      <c r="B14" s="8" t="inlineStr">
        <is>
          <t>*</t>
        </is>
      </c>
      <c r="C14" s="8" t="n">
        <v>16</v>
      </c>
      <c r="D14" s="8" t="n">
        <v>19</v>
      </c>
      <c r="E14" s="8" t="inlineStr">
        <is>
          <t>the afternoon is running out</t>
        </is>
      </c>
      <c r="F14" s="8" t="n">
        <v>0</v>
      </c>
      <c r="G14" s="8" t="n">
        <v>1</v>
      </c>
      <c r="H14" s="8" t="inlineStr"/>
    </row>
    <row r="15">
      <c r="A15" s="8" t="inlineStr">
        <is>
          <t>late_2</t>
        </is>
      </c>
      <c r="B15" s="8" t="inlineStr">
        <is>
          <t>*</t>
        </is>
      </c>
      <c r="C15" s="8" t="n">
        <v>16</v>
      </c>
      <c r="D15" s="8" t="n">
        <v>19</v>
      </c>
      <c r="E15" s="8" t="inlineStr">
        <is>
          <t>everyone is going somewhere they did not choose</t>
        </is>
      </c>
      <c r="F15" s="8" t="n">
        <v>0</v>
      </c>
      <c r="G15" s="8" t="n">
        <v>1</v>
      </c>
      <c r="H15" s="8" t="inlineStr"/>
    </row>
    <row r="16">
      <c r="A16" s="8" t="inlineStr">
        <is>
          <t>dusk_1</t>
        </is>
      </c>
      <c r="B16" s="8" t="inlineStr">
        <is>
          <t>*</t>
        </is>
      </c>
      <c r="C16" s="8" t="n">
        <v>19</v>
      </c>
      <c r="D16" s="8" t="n">
        <v>21</v>
      </c>
      <c r="E16" s="8" t="inlineStr">
        <is>
          <t>somber twilight</t>
        </is>
      </c>
      <c r="F16" s="8" t="n">
        <v>0</v>
      </c>
      <c r="G16" s="8" t="n">
        <v>1</v>
      </c>
      <c r="H16" s="8" t="inlineStr"/>
    </row>
    <row r="17">
      <c r="A17" s="8" t="inlineStr">
        <is>
          <t>dusk_2</t>
        </is>
      </c>
      <c r="B17" s="8" t="inlineStr">
        <is>
          <t>*</t>
        </is>
      </c>
      <c r="C17" s="8" t="n">
        <v>19</v>
      </c>
      <c r="D17" s="8" t="n">
        <v>21</v>
      </c>
      <c r="E17" s="8" t="inlineStr">
        <is>
          <t>the hour the day admits what it was</t>
        </is>
      </c>
      <c r="F17" s="8" t="n">
        <v>0</v>
      </c>
      <c r="G17" s="8" t="n">
        <v>1</v>
      </c>
      <c r="H17" s="8" t="inlineStr"/>
    </row>
    <row r="18">
      <c r="A18" s="8" t="inlineStr">
        <is>
          <t>night_1</t>
        </is>
      </c>
      <c r="B18" s="8" t="inlineStr">
        <is>
          <t>*</t>
        </is>
      </c>
      <c r="C18" s="8" t="n">
        <v>21</v>
      </c>
      <c r="D18" s="8" t="n">
        <v>24</v>
      </c>
      <c r="E18" s="8" t="inlineStr">
        <is>
          <t>the night is getting loud</t>
        </is>
      </c>
      <c r="F18" s="8" t="n">
        <v>0</v>
      </c>
      <c r="G18" s="8" t="n">
        <v>1</v>
      </c>
      <c r="H18" s="8" t="inlineStr"/>
    </row>
    <row r="19">
      <c r="A19" s="8" t="inlineStr">
        <is>
          <t>night_2</t>
        </is>
      </c>
      <c r="B19" s="8" t="inlineStr">
        <is>
          <t>*</t>
        </is>
      </c>
      <c r="C19" s="8" t="n">
        <v>21</v>
      </c>
      <c r="D19" s="8" t="n">
        <v>24</v>
      </c>
      <c r="E19" s="8" t="inlineStr">
        <is>
          <t>the last trains are filling up</t>
        </is>
      </c>
      <c r="F19" s="8" t="n">
        <v>0</v>
      </c>
      <c r="G19" s="8" t="n">
        <v>1</v>
      </c>
      <c r="H19" s="8" t="inlineStr"/>
    </row>
    <row r="20">
      <c r="A20" s="8" t="inlineStr">
        <is>
          <t>small_1</t>
        </is>
      </c>
      <c r="B20" s="8" t="inlineStr">
        <is>
          <t>*</t>
        </is>
      </c>
      <c r="C20" s="8" t="n">
        <v>0</v>
      </c>
      <c r="D20" s="8" t="n">
        <v>5</v>
      </c>
      <c r="E20" s="8" t="inlineStr">
        <is>
          <t>the madrugada, and still moving</t>
        </is>
      </c>
      <c r="F20" s="8" t="n">
        <v>0</v>
      </c>
      <c r="G20" s="8" t="n">
        <v>1</v>
      </c>
      <c r="H20" s="8" t="inlineStr"/>
    </row>
    <row r="21">
      <c r="A21" s="8" t="inlineStr">
        <is>
          <t>small_2</t>
        </is>
      </c>
      <c r="B21" s="8" t="inlineStr">
        <is>
          <t>*</t>
        </is>
      </c>
      <c r="C21" s="8" t="n">
        <v>0</v>
      </c>
      <c r="D21" s="8" t="n">
        <v>5</v>
      </c>
      <c r="E21" s="8" t="inlineStr">
        <is>
          <t>too late to be anything but honest</t>
        </is>
      </c>
      <c r="F21" s="8" t="n">
        <v>0</v>
      </c>
      <c r="G21" s="8" t="n">
        <v>1</v>
      </c>
      <c r="H21" s="8" t="inlineStr"/>
    </row>
    <row r="22">
      <c r="A22" s="8" t="inlineStr">
        <is>
          <t>mon_morn</t>
        </is>
      </c>
      <c r="B22" s="8" t="inlineStr">
        <is>
          <t>MON</t>
        </is>
      </c>
      <c r="C22" s="8" t="n">
        <v>5</v>
      </c>
      <c r="D22" s="8" t="n">
        <v>10</v>
      </c>
      <c r="E22" s="8" t="inlineStr">
        <is>
          <t>monday, and the week already weighs something</t>
        </is>
      </c>
      <c r="F22" s="8" t="n">
        <v>2</v>
      </c>
      <c r="G22" s="8" t="n">
        <v>1</v>
      </c>
      <c r="H22" s="8" t="inlineStr"/>
    </row>
    <row r="23">
      <c r="A23" s="8" t="inlineStr">
        <is>
          <t>mon_dusk</t>
        </is>
      </c>
      <c r="B23" s="8" t="inlineStr">
        <is>
          <t>MON</t>
        </is>
      </c>
      <c r="C23" s="8" t="n">
        <v>19</v>
      </c>
      <c r="D23" s="8" t="n">
        <v>24</v>
      </c>
      <c r="E23" s="8" t="inlineStr">
        <is>
          <t>the longest monday of the month</t>
        </is>
      </c>
      <c r="F23" s="8" t="n">
        <v>2</v>
      </c>
      <c r="G23" s="8" t="n">
        <v>1</v>
      </c>
      <c r="H23" s="8" t="inlineStr"/>
    </row>
    <row r="24">
      <c r="A24" s="8" t="inlineStr">
        <is>
          <t>wed_mid</t>
        </is>
      </c>
      <c r="B24" s="8" t="inlineStr">
        <is>
          <t>WED</t>
        </is>
      </c>
      <c r="C24" s="8" t="n">
        <v>10</v>
      </c>
      <c r="D24" s="8" t="n">
        <v>16</v>
      </c>
      <c r="E24" s="8" t="inlineStr">
        <is>
          <t>the week is stuck exactly in the middle</t>
        </is>
      </c>
      <c r="F24" s="8" t="n">
        <v>2</v>
      </c>
      <c r="G24" s="8" t="n">
        <v>1</v>
      </c>
      <c r="H24" s="8" t="inlineStr"/>
    </row>
    <row r="25">
      <c r="A25" s="8" t="inlineStr">
        <is>
          <t>thu_late</t>
        </is>
      </c>
      <c r="B25" s="8" t="inlineStr">
        <is>
          <t>THU</t>
        </is>
      </c>
      <c r="C25" s="8" t="n">
        <v>16</v>
      </c>
      <c r="D25" s="8" t="n">
        <v>21</v>
      </c>
      <c r="E25" s="8" t="inlineStr">
        <is>
          <t>almost, but not yet</t>
        </is>
      </c>
      <c r="F25" s="8" t="n">
        <v>2</v>
      </c>
      <c r="G25" s="8" t="n">
        <v>1</v>
      </c>
      <c r="H25" s="8" t="inlineStr"/>
    </row>
    <row r="26">
      <c r="A26" s="8" t="inlineStr">
        <is>
          <t>fri_dusk</t>
        </is>
      </c>
      <c r="B26" s="8" t="inlineStr">
        <is>
          <t>FRI</t>
        </is>
      </c>
      <c r="C26" s="8" t="n">
        <v>19</v>
      </c>
      <c r="D26" s="8" t="n">
        <v>21</v>
      </c>
      <c r="E26" s="8" t="inlineStr">
        <is>
          <t>a night to finally be free</t>
        </is>
      </c>
      <c r="F26" s="8" t="n">
        <v>2</v>
      </c>
      <c r="G26" s="8" t="n">
        <v>1</v>
      </c>
      <c r="H26" s="8" t="inlineStr"/>
    </row>
    <row r="27">
      <c r="A27" s="8" t="inlineStr">
        <is>
          <t>fri_night</t>
        </is>
      </c>
      <c r="B27" s="8" t="inlineStr">
        <is>
          <t>FRI</t>
        </is>
      </c>
      <c r="C27" s="8" t="n">
        <v>21</v>
      </c>
      <c r="D27" s="8" t="n">
        <v>24</v>
      </c>
      <c r="E27" s="8" t="inlineStr">
        <is>
          <t>a night to finally be free</t>
        </is>
      </c>
      <c r="F27" s="8" t="n">
        <v>2</v>
      </c>
      <c r="G27" s="8" t="n">
        <v>1</v>
      </c>
      <c r="H27" s="8" t="inlineStr"/>
    </row>
    <row r="28">
      <c r="A28" s="8" t="inlineStr">
        <is>
          <t>fri_small</t>
        </is>
      </c>
      <c r="B28" s="8" t="inlineStr">
        <is>
          <t>FRI</t>
        </is>
      </c>
      <c r="C28" s="8" t="n">
        <v>0</v>
      </c>
      <c r="D28" s="8" t="n">
        <v>5</v>
      </c>
      <c r="E28" s="8" t="inlineStr">
        <is>
          <t>friday refusing to end</t>
        </is>
      </c>
      <c r="F28" s="8" t="n">
        <v>2</v>
      </c>
      <c r="G28" s="8" t="n">
        <v>1</v>
      </c>
      <c r="H28" s="8" t="inlineStr"/>
    </row>
    <row r="29">
      <c r="A29" s="8" t="inlineStr">
        <is>
          <t>sat_mid</t>
        </is>
      </c>
      <c r="B29" s="8" t="inlineStr">
        <is>
          <t>SAT</t>
        </is>
      </c>
      <c r="C29" s="8" t="n">
        <v>10</v>
      </c>
      <c r="D29" s="8" t="n">
        <v>16</v>
      </c>
      <c r="E29" s="8" t="inlineStr">
        <is>
          <t>a saturday with nothing owed to anyone</t>
        </is>
      </c>
      <c r="F29" s="8" t="n">
        <v>2</v>
      </c>
      <c r="G29" s="8" t="n">
        <v>1</v>
      </c>
      <c r="H29" s="8" t="inlineStr"/>
    </row>
    <row r="30">
      <c r="A30" s="8" t="inlineStr">
        <is>
          <t>sat_night</t>
        </is>
      </c>
      <c r="B30" s="8" t="inlineStr">
        <is>
          <t>SAT</t>
        </is>
      </c>
      <c r="C30" s="8" t="n">
        <v>21</v>
      </c>
      <c r="D30" s="8" t="n">
        <v>24</v>
      </c>
      <c r="E30" s="8" t="inlineStr">
        <is>
          <t>the city is pretending it never has to work again</t>
        </is>
      </c>
      <c r="F30" s="8" t="n">
        <v>2</v>
      </c>
      <c r="G30" s="8" t="n">
        <v>1</v>
      </c>
      <c r="H30" s="8" t="inlineStr"/>
    </row>
    <row r="31">
      <c r="A31" s="8" t="inlineStr">
        <is>
          <t>sun_mid</t>
        </is>
      </c>
      <c r="B31" s="8" t="inlineStr">
        <is>
          <t>SUN</t>
        </is>
      </c>
      <c r="C31" s="8" t="n">
        <v>10</v>
      </c>
      <c r="D31" s="8" t="n">
        <v>16</v>
      </c>
      <c r="E31" s="8" t="inlineStr">
        <is>
          <t>a sunday that stretches too far</t>
        </is>
      </c>
      <c r="F31" s="8" t="n">
        <v>2</v>
      </c>
      <c r="G31" s="8" t="n">
        <v>1</v>
      </c>
      <c r="H31" s="8" t="inlineStr"/>
    </row>
    <row r="32">
      <c r="A32" s="8" t="inlineStr">
        <is>
          <t>sun_dusk</t>
        </is>
      </c>
      <c r="B32" s="8" t="inlineStr">
        <is>
          <t>SUN</t>
        </is>
      </c>
      <c r="C32" s="8" t="n">
        <v>19</v>
      </c>
      <c r="D32" s="8" t="n">
        <v>24</v>
      </c>
      <c r="E32" s="8" t="inlineStr">
        <is>
          <t>sunday dusk, and monday already breathing on it</t>
        </is>
      </c>
      <c r="F32" s="8" t="n">
        <v>2</v>
      </c>
      <c r="G32" s="8" t="n">
        <v>1</v>
      </c>
      <c r="H32" s="8" t="inlineStr"/>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7" customWidth="1" min="3" max="3"/>
    <col width="15" customWidth="1" min="4" max="4"/>
    <col width="20" customWidth="1" min="5" max="5"/>
    <col width="19" customWidth="1" min="6" max="6"/>
    <col width="20" customWidth="1" min="7" max="7"/>
    <col width="18" customWidth="1" min="8" max="8"/>
    <col width="20" customWidth="1" min="9" max="9"/>
    <col width="11" customWidth="1" min="10" max="10"/>
    <col width="12" customWidth="1" min="11" max="11"/>
    <col width="54" customWidth="1" min="12" max="12"/>
  </cols>
  <sheetData>
    <row r="1">
      <c r="A1" s="4" t="inlineStr">
        <is>
          <t>RESERVED. Layers are plain emotions today — units.layers holds emotion ids. This sheet exists for when a layer needs properties of its own (taking several hits to break, doing something when it breaks, or granting a passive while it is outermost).</t>
        </is>
      </c>
    </row>
    <row r="3">
      <c r="A3" s="5" t="inlineStr">
        <is>
          <t>id</t>
        </is>
      </c>
      <c r="B3" s="5" t="inlineStr">
        <is>
          <t>emotion</t>
        </is>
      </c>
      <c r="C3" s="5" t="inlineStr">
        <is>
          <t>display_name</t>
        </is>
      </c>
      <c r="D3" s="5" t="inlineStr">
        <is>
          <t>durability</t>
        </is>
      </c>
      <c r="E3" s="5" t="inlineStr">
        <is>
          <t>on_break_effect</t>
        </is>
      </c>
      <c r="F3" s="5" t="inlineStr">
        <is>
          <t>on_break_value</t>
        </is>
      </c>
      <c r="G3" s="5" t="inlineStr">
        <is>
          <t>passive_effect</t>
        </is>
      </c>
      <c r="H3" s="5" t="inlineStr">
        <is>
          <t>passive_value</t>
        </is>
      </c>
      <c r="I3" s="5" t="inlineStr">
        <is>
          <t>regrow_delay_ms</t>
        </is>
      </c>
      <c r="J3" s="5" t="inlineStr">
        <is>
          <t>tags</t>
        </is>
      </c>
      <c r="K3" s="5" t="inlineStr">
        <is>
          <t>enabled</t>
        </is>
      </c>
      <c r="L3" s="5" t="inlineStr">
        <is>
          <t>notes</t>
        </is>
      </c>
    </row>
    <row r="4">
      <c r="A4" s="7" t="inlineStr">
        <is>
          <t>planned</t>
        </is>
      </c>
      <c r="B4" s="7" t="inlineStr">
        <is>
          <t>planned</t>
        </is>
      </c>
      <c r="C4" s="7" t="inlineStr">
        <is>
          <t>planned</t>
        </is>
      </c>
      <c r="D4" s="7" t="inlineStr">
        <is>
          <t>planned</t>
        </is>
      </c>
      <c r="E4" s="7" t="inlineStr">
        <is>
          <t>planned</t>
        </is>
      </c>
      <c r="F4" s="7" t="inlineStr">
        <is>
          <t>planned</t>
        </is>
      </c>
      <c r="G4" s="7" t="inlineStr">
        <is>
          <t>planned</t>
        </is>
      </c>
      <c r="H4" s="7" t="inlineStr">
        <is>
          <t>planned</t>
        </is>
      </c>
      <c r="I4" s="7" t="inlineStr">
        <is>
          <t>planned</t>
        </is>
      </c>
      <c r="J4" s="7" t="inlineStr">
        <is>
          <t>planned</t>
        </is>
      </c>
      <c r="K4" s="7" t="inlineStr">
        <is>
          <t>planned</t>
        </is>
      </c>
      <c r="L4" s="7" t="inlineStr">
        <is>
          <t>planned</t>
        </is>
      </c>
    </row>
    <row r="5">
      <c r="A5" s="8" t="inlineStr">
        <is>
          <t>EXAMPLE_BRITTLE_ANGER</t>
        </is>
      </c>
      <c r="B5" s="8" t="inlineStr">
        <is>
          <t>ANGER</t>
        </is>
      </c>
      <c r="C5" s="8" t="inlineStr">
        <is>
          <t>Brittle Anger</t>
        </is>
      </c>
      <c r="D5" s="8" t="n">
        <v>1</v>
      </c>
      <c r="E5" s="8" t="inlineStr">
        <is>
          <t>EC_TO_OWNER</t>
        </is>
      </c>
      <c r="F5" s="8" t="n">
        <v>10</v>
      </c>
      <c r="G5" s="8" t="inlineStr">
        <is>
          <t>DMG_TAKEN_MULT</t>
        </is>
      </c>
      <c r="H5" s="8" t="n">
        <v>1.25</v>
      </c>
      <c r="I5" s="8" t="n">
        <v>380</v>
      </c>
      <c r="J5" s="8" t="inlineStr">
        <is>
          <t>EXAMPLE</t>
        </is>
      </c>
      <c r="K5" s="8" t="n">
        <v>0</v>
      </c>
      <c r="L5" s="8" t="inlineStr">
        <is>
          <t>EXAMPLE ROW — shows the intended format. enabled=0, so it is ignored.</t>
        </is>
      </c>
    </row>
  </sheetData>
  <mergeCells count="1">
    <mergeCell ref="A1:L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3" customWidth="1" min="3" max="3"/>
    <col width="11" customWidth="1" min="4" max="4"/>
    <col width="11" customWidth="1" min="5" max="5"/>
    <col width="11" customWidth="1" min="6" max="6"/>
    <col width="16" customWidth="1" min="7" max="7"/>
    <col width="16" customWidth="1" min="8" max="8"/>
    <col width="14" customWidth="1" min="9" max="9"/>
    <col width="14" customWidth="1" min="10" max="10"/>
    <col width="19" customWidth="1" min="11" max="11"/>
    <col width="19" customWidth="1" min="12" max="12"/>
    <col width="17" customWidth="1" min="13" max="13"/>
    <col width="16" customWidth="1" min="14" max="14"/>
    <col width="16" customWidth="1" min="15" max="15"/>
    <col width="19" customWidth="1" min="16" max="16"/>
    <col width="13" customWidth="1" min="17" max="17"/>
    <col width="15" customWidth="1" min="18" max="18"/>
    <col width="12" customWidth="1" min="19" max="19"/>
    <col width="52" customWidth="1" min="20" max="20"/>
  </cols>
  <sheetData>
    <row r="1">
      <c r="A1" s="4" t="inlineStr">
        <is>
          <t>One row per status. Abilities apply these by id through status_apply / status_duration. Add a status by adding a row and teaching Kinds what reads it.</t>
        </is>
      </c>
    </row>
    <row r="3">
      <c r="A3" s="5" t="inlineStr">
        <is>
          <t>id</t>
        </is>
      </c>
      <c r="B3" s="5" t="inlineStr">
        <is>
          <t>name</t>
        </is>
      </c>
      <c r="C3" s="5" t="inlineStr">
        <is>
          <t>duration</t>
        </is>
      </c>
      <c r="D3" s="5" t="inlineStr">
        <is>
          <t>icon</t>
        </is>
      </c>
      <c r="E3" s="5" t="inlineStr">
        <is>
          <t>color</t>
        </is>
      </c>
      <c r="F3" s="5" t="inlineStr">
        <is>
          <t>blurb</t>
        </is>
      </c>
      <c r="G3" s="5" t="inlineStr">
        <is>
          <t>block_regen</t>
        </is>
      </c>
      <c r="H3" s="5" t="inlineStr">
        <is>
          <t>miss_chance</t>
        </is>
      </c>
      <c r="I3" s="5" t="inlineStr">
        <is>
          <t>self_hits</t>
        </is>
      </c>
      <c r="J3" s="5" t="inlineStr">
        <is>
          <t>crit_mult</t>
        </is>
      </c>
      <c r="K3" s="5" t="inlineStr">
        <is>
          <t>dmg_taken_mult</t>
        </is>
      </c>
      <c r="L3" s="5" t="inlineStr">
        <is>
          <t>dmg_dealt_mult</t>
        </is>
      </c>
      <c r="M3" s="5" t="inlineStr">
        <is>
          <t>ec_gain_mult</t>
        </is>
      </c>
      <c r="N3" s="5" t="inlineStr">
        <is>
          <t>ms_per_turn</t>
        </is>
      </c>
      <c r="O3" s="5" t="inlineStr">
        <is>
          <t>ec_per_turn</t>
        </is>
      </c>
      <c r="P3" s="5" t="inlineStr">
        <is>
          <t>blocks_actions</t>
        </is>
      </c>
      <c r="Q3" s="5" t="inlineStr">
        <is>
          <t>stacking</t>
        </is>
      </c>
      <c r="R3" s="5" t="inlineStr">
        <is>
          <t>max_stacks</t>
        </is>
      </c>
      <c r="S3" s="5" t="inlineStr">
        <is>
          <t>enabled</t>
        </is>
      </c>
      <c r="T3" s="5" t="inlineStr">
        <is>
          <t>notes</t>
        </is>
      </c>
    </row>
    <row r="4">
      <c r="A4" s="6" t="inlineStr">
        <is>
          <t>LIVE</t>
        </is>
      </c>
      <c r="B4" s="6" t="inlineStr">
        <is>
          <t>LIVE</t>
        </is>
      </c>
      <c r="C4" s="6" t="inlineStr">
        <is>
          <t>LIVE</t>
        </is>
      </c>
      <c r="D4" s="6" t="inlineStr">
        <is>
          <t>LIVE</t>
        </is>
      </c>
      <c r="E4" s="6" t="inlineStr">
        <is>
          <t>LIVE</t>
        </is>
      </c>
      <c r="F4" s="6" t="inlineStr">
        <is>
          <t>LIVE</t>
        </is>
      </c>
      <c r="G4" s="6" t="inlineStr">
        <is>
          <t>LIVE</t>
        </is>
      </c>
      <c r="H4" s="6" t="inlineStr">
        <is>
          <t>LIVE</t>
        </is>
      </c>
      <c r="I4" s="6" t="inlineStr">
        <is>
          <t>LIVE</t>
        </is>
      </c>
      <c r="J4" s="6" t="inlineStr">
        <is>
          <t>LIVE</t>
        </is>
      </c>
      <c r="K4" s="7" t="inlineStr">
        <is>
          <t>planned</t>
        </is>
      </c>
      <c r="L4" s="7" t="inlineStr">
        <is>
          <t>planned</t>
        </is>
      </c>
      <c r="M4" s="7" t="inlineStr">
        <is>
          <t>planned</t>
        </is>
      </c>
      <c r="N4" s="7" t="inlineStr">
        <is>
          <t>planned</t>
        </is>
      </c>
      <c r="O4" s="7" t="inlineStr">
        <is>
          <t>planned</t>
        </is>
      </c>
      <c r="P4" s="7" t="inlineStr">
        <is>
          <t>planned</t>
        </is>
      </c>
      <c r="Q4" s="7" t="inlineStr">
        <is>
          <t>planned</t>
        </is>
      </c>
      <c r="R4" s="7" t="inlineStr">
        <is>
          <t>planned</t>
        </is>
      </c>
      <c r="S4" s="6" t="inlineStr">
        <is>
          <t>LIVE</t>
        </is>
      </c>
      <c r="T4" s="7" t="inlineStr">
        <is>
          <t>planned</t>
        </is>
      </c>
    </row>
    <row r="5">
      <c r="A5" s="8" t="inlineStr">
        <is>
          <t>NO_REGEN</t>
        </is>
      </c>
      <c r="B5" s="8" t="inlineStr">
        <is>
          <t>Rotting</t>
        </is>
      </c>
      <c r="C5" s="8" t="n">
        <v>2</v>
      </c>
      <c r="D5" s="8" t="inlineStr">
        <is>
          <t>ROT</t>
        </is>
      </c>
      <c r="E5" s="8" t="inlineStr">
        <is>
          <t>#56a36a</t>
        </is>
      </c>
      <c r="F5" s="8" t="inlineStr">
        <is>
          <t>*2* of your broken {LAYERS} are being held down. They stay broken until this wears off.</t>
        </is>
      </c>
      <c r="G5" s="8" t="n">
        <v>2</v>
      </c>
      <c r="H5" s="8" t="n">
        <v>0</v>
      </c>
      <c r="I5" s="8" t="n">
        <v>0</v>
      </c>
      <c r="J5" s="8" t="n">
        <v>0</v>
      </c>
      <c r="K5" s="8" t="n">
        <v>1</v>
      </c>
      <c r="L5" s="8" t="n">
        <v>1</v>
      </c>
      <c r="M5" s="8" t="n">
        <v>1</v>
      </c>
      <c r="N5" s="8" t="n">
        <v>0</v>
      </c>
      <c r="O5" s="8" t="n">
        <v>0</v>
      </c>
      <c r="P5" s="8" t="n">
        <v>0</v>
      </c>
      <c r="Q5" s="8" t="inlineStr">
        <is>
          <t>REFRESH</t>
        </is>
      </c>
      <c r="R5" s="8" t="n">
        <v>1</v>
      </c>
      <c r="S5" s="8" t="n">
        <v>1</v>
      </c>
      <c r="T5" s="8" t="inlineStr">
        <is>
          <t>Holds this many broken layers down: they stay broken while it lasts.</t>
        </is>
      </c>
    </row>
    <row r="6">
      <c r="A6" s="8" t="inlineStr">
        <is>
          <t>SAD</t>
        </is>
      </c>
      <c r="B6" s="8" t="inlineStr">
        <is>
          <t>Sad</t>
        </is>
      </c>
      <c r="C6" s="8" t="n">
        <v>2</v>
      </c>
      <c r="D6" s="8" t="inlineStr">
        <is>
          <t>DROP</t>
        </is>
      </c>
      <c r="E6" s="8" t="inlineStr">
        <is>
          <t>#3d66c1</t>
        </is>
      </c>
      <c r="F6" s="8" t="inlineStr">
        <is>
          <t>At the end of every round one of your own attacks is turned *on yourself*.</t>
        </is>
      </c>
      <c r="G6" s="8" t="n">
        <v>0</v>
      </c>
      <c r="H6" s="8" t="n">
        <v>0</v>
      </c>
      <c r="I6" s="8" t="n">
        <v>1</v>
      </c>
      <c r="J6" s="8" t="n">
        <v>0</v>
      </c>
      <c r="K6" s="8" t="n">
        <v>1</v>
      </c>
      <c r="L6" s="8" t="n">
        <v>1</v>
      </c>
      <c r="M6" s="8" t="n">
        <v>1</v>
      </c>
      <c r="N6" s="8" t="n">
        <v>0</v>
      </c>
      <c r="O6" s="8" t="n">
        <v>0</v>
      </c>
      <c r="P6" s="8" t="n">
        <v>0</v>
      </c>
      <c r="Q6" s="8" t="inlineStr">
        <is>
          <t>REFRESH</t>
        </is>
      </c>
      <c r="R6" s="8" t="n">
        <v>1</v>
      </c>
      <c r="S6" s="8" t="n">
        <v>1</v>
      </c>
      <c r="T6" s="8" t="inlineStr">
        <is>
          <t>Each round end the victim turns one of its OWN attacks on itself.</t>
        </is>
      </c>
    </row>
    <row r="7">
      <c r="A7" s="8" t="inlineStr">
        <is>
          <t>OVERLOAD</t>
        </is>
      </c>
      <c r="B7" s="8" t="inlineStr">
        <is>
          <t>Overload</t>
        </is>
      </c>
      <c r="C7" s="8" t="n">
        <v>0</v>
      </c>
      <c r="D7" s="8" t="inlineStr">
        <is>
          <t>WARN</t>
        </is>
      </c>
      <c r="E7" s="8" t="inlineStr">
        <is>
          <t>#e53859</t>
        </is>
      </c>
      <c r="F7" s="8" t="inlineStr">
        <is>
          <t>Your {EC} is over your {MS}. Your line is being invaded until you burn it down.</t>
        </is>
      </c>
      <c r="G7" s="8" t="n">
        <v>0</v>
      </c>
      <c r="H7" s="8" t="n">
        <v>0</v>
      </c>
      <c r="I7" s="8" t="n">
        <v>0</v>
      </c>
      <c r="J7" s="8" t="n">
        <v>0</v>
      </c>
      <c r="K7" s="8" t="n">
        <v>1</v>
      </c>
      <c r="L7" s="8" t="n">
        <v>1</v>
      </c>
      <c r="M7" s="8" t="n">
        <v>1</v>
      </c>
      <c r="N7" s="8" t="n">
        <v>0</v>
      </c>
      <c r="O7" s="8" t="n">
        <v>0</v>
      </c>
      <c r="P7" s="8" t="n">
        <v>0</v>
      </c>
      <c r="Q7" s="8" t="inlineStr">
        <is>
          <t>REFRESH</t>
        </is>
      </c>
      <c r="R7" s="8" t="n">
        <v>1</v>
      </c>
      <c r="S7" s="8" t="n">
        <v>1</v>
      </c>
      <c r="T7" s="8" t="inlineStr">
        <is>
          <t>DERIVED, not timed: it lasts while ec &gt; ms, so it is never stored in unit.statuses.</t>
        </is>
      </c>
    </row>
    <row r="8">
      <c r="A8" s="8" t="inlineStr">
        <is>
          <t>BLINDED</t>
        </is>
      </c>
      <c r="B8" s="8" t="inlineStr">
        <is>
          <t>Blinded</t>
        </is>
      </c>
      <c r="C8" s="8" t="n">
        <v>2</v>
      </c>
      <c r="D8" s="8" t="inlineStr">
        <is>
          <t>EYE</t>
        </is>
      </c>
      <c r="E8" s="8" t="inlineStr">
        <is>
          <t>#e53859</t>
        </is>
      </c>
      <c r="F8" s="8" t="inlineStr">
        <is>
          <t>{ANGER} has blotted out your aim. *Half* of your attacks miss outright.</t>
        </is>
      </c>
      <c r="G8" s="8" t="n">
        <v>0</v>
      </c>
      <c r="H8" s="8" t="n">
        <v>0.5</v>
      </c>
      <c r="I8" s="8" t="n">
        <v>0</v>
      </c>
      <c r="J8" s="8" t="n">
        <v>0</v>
      </c>
      <c r="K8" s="8" t="n">
        <v>1</v>
      </c>
      <c r="L8" s="8" t="n">
        <v>1</v>
      </c>
      <c r="M8" s="8" t="n">
        <v>1</v>
      </c>
      <c r="N8" s="8" t="n">
        <v>0</v>
      </c>
      <c r="O8" s="8" t="n">
        <v>0</v>
      </c>
      <c r="P8" s="8" t="n">
        <v>0</v>
      </c>
      <c r="Q8" s="8" t="inlineStr">
        <is>
          <t>REFRESH</t>
        </is>
      </c>
      <c r="R8" s="8" t="n">
        <v>1</v>
      </c>
      <c r="S8" s="8" t="n">
        <v>1</v>
      </c>
      <c r="T8" s="8" t="inlineStr">
        <is>
          <t>The victim fluffs this fraction of its attacks.</t>
        </is>
      </c>
    </row>
    <row r="9">
      <c r="A9" s="8" t="inlineStr">
        <is>
          <t>RATTLED</t>
        </is>
      </c>
      <c r="B9" s="8" t="inlineStr">
        <is>
          <t>Rattled</t>
        </is>
      </c>
      <c r="C9" s="8" t="n">
        <v>2</v>
      </c>
      <c r="D9" s="8" t="inlineStr">
        <is>
          <t>BURST</t>
        </is>
      </c>
      <c r="E9" s="8" t="inlineStr">
        <is>
          <t>#724082</t>
        </is>
      </c>
      <c r="F9" s="8" t="inlineStr">
        <is>
          <t>{SURPRISE} came from nowhere. *A third* of your attacks go wide.</t>
        </is>
      </c>
      <c r="G9" s="8" t="n">
        <v>0</v>
      </c>
      <c r="H9" s="8" t="n">
        <v>0.35</v>
      </c>
      <c r="I9" s="8" t="n">
        <v>0</v>
      </c>
      <c r="J9" s="8" t="n">
        <v>0</v>
      </c>
      <c r="K9" s="8" t="n">
        <v>1</v>
      </c>
      <c r="L9" s="8" t="n">
        <v>1</v>
      </c>
      <c r="M9" s="8" t="n">
        <v>1</v>
      </c>
      <c r="N9" s="8" t="n">
        <v>0</v>
      </c>
      <c r="O9" s="8" t="n">
        <v>0</v>
      </c>
      <c r="P9" s="8" t="n">
        <v>0</v>
      </c>
      <c r="Q9" s="8" t="inlineStr">
        <is>
          <t>REFRESH</t>
        </is>
      </c>
      <c r="R9" s="8" t="n">
        <v>1</v>
      </c>
      <c r="S9" s="8" t="n">
        <v>1</v>
      </c>
      <c r="T9" s="8" t="inlineStr">
        <is>
          <t>Surprise's own miss status. missChance() takes the HIGHEST of everything on a unit rather than summing, so Rattled and Blinded together are just Blinded.</t>
        </is>
      </c>
    </row>
    <row r="10">
      <c r="A10" s="8" t="inlineStr">
        <is>
          <t>NAUSEOUS</t>
        </is>
      </c>
      <c r="B10" s="8" t="inlineStr">
        <is>
          <t>Nauseous</t>
        </is>
      </c>
      <c r="C10" s="8" t="n">
        <v>2</v>
      </c>
      <c r="D10" s="8" t="inlineStr">
        <is>
          <t>ROT</t>
        </is>
      </c>
      <c r="E10" s="8" t="inlineStr">
        <is>
          <t>#56a36a</t>
        </is>
      </c>
      <c r="F10" s="8" t="inlineStr">
        <is>
          <t>You cannot keep anything down. *Two in five* of your attacks go wide, and one of them comes back at *you* every round.</t>
        </is>
      </c>
      <c r="G10" s="8" t="n">
        <v>0</v>
      </c>
      <c r="H10" s="8" t="n">
        <v>0.4</v>
      </c>
      <c r="I10" s="8" t="n">
        <v>1</v>
      </c>
      <c r="J10" s="8" t="n">
        <v>0</v>
      </c>
      <c r="K10" s="8" t="n">
        <v>1</v>
      </c>
      <c r="L10" s="8" t="n">
        <v>1</v>
      </c>
      <c r="M10" s="8" t="n">
        <v>1</v>
      </c>
      <c r="N10" s="8" t="n">
        <v>0</v>
      </c>
      <c r="O10" s="8" t="n">
        <v>0</v>
      </c>
      <c r="P10" s="8" t="n">
        <v>0</v>
      </c>
      <c r="Q10" s="8" t="inlineStr">
        <is>
          <t>REFRESH</t>
        </is>
      </c>
      <c r="R10" s="8" t="n">
        <v>1</v>
      </c>
      <c r="S10" s="8" t="n">
        <v>1</v>
      </c>
      <c r="T10" s="8" t="inlineStr">
        <is>
          <t>TWO levers at once, which is what makes it the priciest debuff in the game: it is Blinded and Sad in a single slot, a little weaker at each than either is alone.</t>
        </is>
      </c>
    </row>
    <row r="11">
      <c r="A11" s="8" t="inlineStr">
        <is>
          <t>SPOILED</t>
        </is>
      </c>
      <c r="B11" s="8" t="inlineStr">
        <is>
          <t>Spoiled</t>
        </is>
      </c>
      <c r="C11" s="8" t="n">
        <v>3</v>
      </c>
      <c r="D11" s="8" t="inlineStr">
        <is>
          <t>ROT</t>
        </is>
      </c>
      <c r="E11" s="8" t="inlineStr">
        <is>
          <t>#3f7a52</t>
        </is>
      </c>
      <c r="F11" s="8" t="inlineStr">
        <is>
          <t>*3* of your broken {LAYERS} are being held down, and nothing is going your way.</t>
        </is>
      </c>
      <c r="G11" s="8" t="n">
        <v>3</v>
      </c>
      <c r="H11" s="8" t="n">
        <v>0</v>
      </c>
      <c r="I11" s="8" t="n">
        <v>0</v>
      </c>
      <c r="J11" s="8" t="n">
        <v>-0.045</v>
      </c>
      <c r="K11" s="8" t="n">
        <v>1</v>
      </c>
      <c r="L11" s="8" t="n">
        <v>1</v>
      </c>
      <c r="M11" s="8" t="n">
        <v>1</v>
      </c>
      <c r="N11" s="8" t="n">
        <v>0</v>
      </c>
      <c r="O11" s="8" t="n">
        <v>0</v>
      </c>
      <c r="P11" s="8" t="n">
        <v>0</v>
      </c>
      <c r="Q11" s="8" t="inlineStr">
        <is>
          <t>REFRESH</t>
        </is>
      </c>
      <c r="R11" s="8" t="n">
        <v>1</v>
      </c>
      <c r="S11" s="8" t="n">
        <v>1</v>
      </c>
      <c r="T11" s="8" t="inlineStr">
        <is>
          <t>The only status that moves crit odds. -0.045 against a base critChance of 0.05 leaves half a percent - not quite never, which is worse to play against than never.</t>
        </is>
      </c>
    </row>
    <row r="12">
      <c r="A12" s="8" t="inlineStr">
        <is>
          <t>DIZZY</t>
        </is>
      </c>
      <c r="B12" s="8" t="inlineStr">
        <is>
          <t>Dizzy</t>
        </is>
      </c>
      <c r="C12" s="8" t="n">
        <v>1</v>
      </c>
      <c r="D12" s="8" t="inlineStr">
        <is>
          <t>BURST</t>
        </is>
      </c>
      <c r="E12" s="8" t="inlineStr">
        <is>
          <t>#9a6bb0</t>
        </is>
      </c>
      <c r="F12" s="8" t="inlineStr">
        <is>
          <t>The carriage is still moving without you. *Half* of your attacks miss outright.</t>
        </is>
      </c>
      <c r="G12" s="8" t="n">
        <v>0</v>
      </c>
      <c r="H12" s="8" t="n">
        <v>0.5</v>
      </c>
      <c r="I12" s="8" t="n">
        <v>0</v>
      </c>
      <c r="J12" s="8" t="n">
        <v>0</v>
      </c>
      <c r="K12" s="8" t="n">
        <v>1</v>
      </c>
      <c r="L12" s="8" t="n">
        <v>1</v>
      </c>
      <c r="M12" s="8" t="n">
        <v>1</v>
      </c>
      <c r="N12" s="8" t="n">
        <v>0</v>
      </c>
      <c r="O12" s="8" t="n">
        <v>0</v>
      </c>
      <c r="P12" s="8" t="n">
        <v>0</v>
      </c>
      <c r="Q12" s="8" t="inlineStr">
        <is>
          <t>REFRESH</t>
        </is>
      </c>
      <c r="R12" s="8" t="n">
        <v>1</v>
      </c>
      <c r="S12" s="8" t="n">
        <v>1</v>
      </c>
      <c r="T12" s="8" t="inlineStr">
        <is>
          <t>Blinded's miss rate for a SINGLE turn - what Drug Hit leaves behind. The whole difference between this and BLINDED is how long you live with it, which is what makes a one-turn status worth costing as a basic attack rather than as a debuff.</t>
        </is>
      </c>
    </row>
  </sheetData>
  <mergeCells count="1">
    <mergeCell ref="A1:T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2" customWidth="1" min="3" max="3"/>
    <col width="12" customWidth="1" min="4" max="4"/>
    <col width="13" customWidth="1" min="5" max="5"/>
    <col width="11" customWidth="1" min="6" max="6"/>
    <col width="11" customWidth="1" min="7" max="7"/>
    <col width="11" customWidth="1" min="8" max="8"/>
    <col width="17" customWidth="1" min="9" max="9"/>
    <col width="15" customWidth="1" min="10" max="10"/>
    <col width="13" customWidth="1" min="11" max="11"/>
    <col width="12" customWidth="1" min="12" max="12"/>
    <col width="56" customWidth="1" min="13" max="13"/>
  </cols>
  <sheetData>
    <row r="1">
      <c r="A1" s="4" t="inlineStr">
        <is>
          <t>RESERVED. Line-level combos: things that depend on what else is in the line, or on what fired just before. trigger/subject/operator/value form the condition; effect/effect_value form the result. Tell me the ones you want and I will wire the vocabulary you use here.</t>
        </is>
      </c>
    </row>
    <row r="3">
      <c r="A3" s="5" t="inlineStr">
        <is>
          <t>id</t>
        </is>
      </c>
      <c r="B3" s="5" t="inlineStr">
        <is>
          <t>name</t>
        </is>
      </c>
      <c r="C3" s="5" t="inlineStr">
        <is>
          <t>trigger</t>
        </is>
      </c>
      <c r="D3" s="5" t="inlineStr">
        <is>
          <t>subject</t>
        </is>
      </c>
      <c r="E3" s="5" t="inlineStr">
        <is>
          <t>operator</t>
        </is>
      </c>
      <c r="F3" s="5" t="inlineStr">
        <is>
          <t>value</t>
        </is>
      </c>
      <c r="G3" s="5" t="inlineStr">
        <is>
          <t>window</t>
        </is>
      </c>
      <c r="H3" s="5" t="inlineStr">
        <is>
          <t>effect</t>
        </is>
      </c>
      <c r="I3" s="5" t="inlineStr">
        <is>
          <t>effect_value</t>
        </is>
      </c>
      <c r="J3" s="5" t="inlineStr">
        <is>
          <t>applies_to</t>
        </is>
      </c>
      <c r="K3" s="5" t="inlineStr">
        <is>
          <t>priority</t>
        </is>
      </c>
      <c r="L3" s="5" t="inlineStr">
        <is>
          <t>enabled</t>
        </is>
      </c>
      <c r="M3" s="5" t="inlineStr">
        <is>
          <t>notes</t>
        </is>
      </c>
    </row>
    <row r="4">
      <c r="A4" s="7" t="inlineStr">
        <is>
          <t>planned</t>
        </is>
      </c>
      <c r="B4" s="7" t="inlineStr">
        <is>
          <t>planned</t>
        </is>
      </c>
      <c r="C4" s="7" t="inlineStr">
        <is>
          <t>planned</t>
        </is>
      </c>
      <c r="D4" s="7" t="inlineStr">
        <is>
          <t>planned</t>
        </is>
      </c>
      <c r="E4" s="7" t="inlineStr">
        <is>
          <t>planned</t>
        </is>
      </c>
      <c r="F4" s="7" t="inlineStr">
        <is>
          <t>planned</t>
        </is>
      </c>
      <c r="G4" s="7" t="inlineStr">
        <is>
          <t>planned</t>
        </is>
      </c>
      <c r="H4" s="7" t="inlineStr">
        <is>
          <t>planned</t>
        </is>
      </c>
      <c r="I4" s="7" t="inlineStr">
        <is>
          <t>planned</t>
        </is>
      </c>
      <c r="J4" s="7" t="inlineStr">
        <is>
          <t>planned</t>
        </is>
      </c>
      <c r="K4" s="7" t="inlineStr">
        <is>
          <t>planned</t>
        </is>
      </c>
      <c r="L4" s="7" t="inlineStr">
        <is>
          <t>planned</t>
        </is>
      </c>
      <c r="M4" s="7" t="inlineStr">
        <is>
          <t>planned</t>
        </is>
      </c>
    </row>
    <row r="5">
      <c r="A5" s="8" t="inlineStr">
        <is>
          <t>EXAMPLE_TRIPLE</t>
        </is>
      </c>
      <c r="B5" s="8" t="inlineStr">
        <is>
          <t>Monochrome Line</t>
        </is>
      </c>
      <c r="C5" s="8" t="inlineStr">
        <is>
          <t>LINE_CONTAINS</t>
        </is>
      </c>
      <c r="D5" s="8" t="inlineStr">
        <is>
          <t>EMOTION_COUNT</t>
        </is>
      </c>
      <c r="E5" s="8" t="inlineStr">
        <is>
          <t>&gt;=</t>
        </is>
      </c>
      <c r="F5" s="8" t="n">
        <v>3</v>
      </c>
      <c r="G5" s="8" t="inlineStr">
        <is>
          <t>LINE</t>
        </is>
      </c>
      <c r="H5" s="8" t="inlineStr">
        <is>
          <t>DMG_MULT</t>
        </is>
      </c>
      <c r="I5" s="8" t="n">
        <v>1.5</v>
      </c>
      <c r="J5" s="8" t="inlineStr">
        <is>
          <t>ALL_STATIONS</t>
        </is>
      </c>
      <c r="K5" s="8" t="n">
        <v>10</v>
      </c>
      <c r="L5" s="8" t="n">
        <v>0</v>
      </c>
      <c r="M5" s="8" t="inlineStr">
        <is>
          <t>EXAMPLE ROW — three stations of one emotion in a line hit 50% harder. enabled=0.</t>
        </is>
      </c>
    </row>
    <row r="6">
      <c r="A6" s="8" t="inlineStr">
        <is>
          <t>EXAMPLE_CHAIN</t>
        </is>
      </c>
      <c r="B6" s="8" t="inlineStr">
        <is>
          <t>Grief After Rage</t>
        </is>
      </c>
      <c r="C6" s="8" t="inlineStr">
        <is>
          <t>PREV_STATION</t>
        </is>
      </c>
      <c r="D6" s="8" t="inlineStr">
        <is>
          <t>EMOTION</t>
        </is>
      </c>
      <c r="E6" s="8">
        <f>=</f>
        <v/>
      </c>
      <c r="F6" s="8" t="inlineStr">
        <is>
          <t>ANGER</t>
        </is>
      </c>
      <c r="G6" s="8" t="inlineStr">
        <is>
          <t>STATION</t>
        </is>
      </c>
      <c r="H6" s="8" t="inlineStr">
        <is>
          <t>EC_MULT</t>
        </is>
      </c>
      <c r="I6" s="8" t="n">
        <v>2</v>
      </c>
      <c r="J6" s="8" t="inlineStr">
        <is>
          <t>THIS_STATION</t>
        </is>
      </c>
      <c r="K6" s="8" t="n">
        <v>20</v>
      </c>
      <c r="L6" s="8" t="n">
        <v>0</v>
      </c>
      <c r="M6" s="8" t="inlineStr">
        <is>
          <t>EXAMPLE ROW — a station firing straight after an Anger station gives double charge. enabled=0.</t>
        </is>
      </c>
    </row>
  </sheetData>
  <mergeCells count="1">
    <mergeCell ref="A1:M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78" customWidth="1" min="3" max="3"/>
  </cols>
  <sheetData>
    <row r="1">
      <c r="A1" s="4" t="inlineStr">
        <is>
          <t>Global tunables. Keys are read by name — renaming one breaks whatever reads it.</t>
        </is>
      </c>
    </row>
    <row r="3">
      <c r="A3" s="5" t="inlineStr">
        <is>
          <t>key</t>
        </is>
      </c>
      <c r="B3" s="5" t="inlineStr">
        <is>
          <t>value</t>
        </is>
      </c>
      <c r="C3" s="5" t="inlineStr">
        <is>
          <t>description</t>
        </is>
      </c>
    </row>
    <row r="4">
      <c r="A4" s="6" t="inlineStr">
        <is>
          <t>LIVE</t>
        </is>
      </c>
      <c r="B4" s="6" t="inlineStr">
        <is>
          <t>LIVE</t>
        </is>
      </c>
      <c r="C4" s="7" t="inlineStr">
        <is>
          <t>planned</t>
        </is>
      </c>
    </row>
    <row r="5">
      <c r="A5" s="8" t="inlineStr">
        <is>
          <t>lineCap</t>
        </is>
      </c>
      <c r="B5" s="8" t="n">
        <v>3</v>
      </c>
      <c r="C5" s="8" t="inlineStr">
        <is>
          <t>FALLBACK line size, used only if a unit row leaves line_cap blank.</t>
        </is>
      </c>
    </row>
    <row r="6">
      <c r="A6" s="8" t="inlineStr">
        <is>
          <t>maxLayers</t>
        </is>
      </c>
      <c r="B6" s="8" t="n">
        <v>6</v>
      </c>
      <c r="C6" s="8" t="inlineStr">
        <is>
          <t>Layer slots per unit.</t>
        </is>
      </c>
    </row>
    <row r="7">
      <c r="A7" s="8" t="inlineStr">
        <is>
          <t>restEc</t>
        </is>
      </c>
      <c r="B7" s="8" t="n">
        <v>15</v>
      </c>
      <c r="C7" s="8" t="inlineStr">
        <is>
          <t>Charge gained by departing with an empty line.</t>
        </is>
      </c>
    </row>
    <row r="8">
      <c r="A8" s="8" t="inlineStr">
        <is>
          <t>ecBasis</t>
        </is>
      </c>
      <c r="B8" s="8" t="inlineStr">
        <is>
          <t>POWER</t>
        </is>
      </c>
      <c r="C8" s="8" t="inlineStr">
        <is>
          <t>POWER = charge figured from the ability's base power. DEALT = from damage actually dealt.</t>
        </is>
      </c>
    </row>
    <row r="9">
      <c r="A9" s="8" t="inlineStr">
        <is>
          <t>noLayerDmgMult</t>
        </is>
      </c>
      <c r="B9" s="8" t="n">
        <v>1</v>
      </c>
      <c r="C9" s="8" t="inlineStr">
        <is>
          <t>Superseded by the matchups sheet; kept as a fallback.</t>
        </is>
      </c>
    </row>
    <row r="10">
      <c r="A10" s="8" t="inlineStr">
        <is>
          <t>noLayerEcMult</t>
        </is>
      </c>
      <c r="B10" s="8" t="n">
        <v>0</v>
      </c>
      <c r="C10" s="8" t="inlineStr">
        <is>
          <t>Superseded by the matchups sheet; kept as a fallback.</t>
        </is>
      </c>
    </row>
    <row r="11">
      <c r="A11" s="8" t="inlineStr">
        <is>
          <t>shieldRotatesLayer</t>
        </is>
      </c>
      <c r="B11" s="8" t="n">
        <v>0</v>
      </c>
      <c r="C11" s="8" t="inlineStr">
        <is>
          <t>Whether a blocked attack still rotates the layer queue.</t>
        </is>
      </c>
    </row>
    <row r="12">
      <c r="A12" s="8" t="inlineStr">
        <is>
          <t>lowMsWarnPct</t>
        </is>
      </c>
      <c r="B12" s="8" t="n">
        <v>0.18</v>
      </c>
      <c r="C12" s="8" t="inlineStr">
        <is>
          <t>Below this fraction of max MS the ceiling chevron pulses red.</t>
        </is>
      </c>
    </row>
    <row r="13">
      <c r="A13" s="8" t="inlineStr">
        <is>
          <t>clashSeconds</t>
        </is>
      </c>
      <c r="B13" s="8" t="n">
        <v>4</v>
      </c>
      <c r="C13" s="8" t="inlineStr">
        <is>
          <t>Length of the death sequence.</t>
        </is>
      </c>
    </row>
    <row r="14">
      <c r="A14" s="8" t="inlineStr">
        <is>
          <t>layerRegenAtTurnEnd</t>
        </is>
      </c>
      <c r="B14" s="8" t="n">
        <v>1</v>
      </c>
      <c r="C14" s="8" t="inlineStr">
        <is>
          <t>Broken layers stay gone until the round ends, then regrow at the back of the queue.</t>
        </is>
      </c>
    </row>
    <row r="15">
      <c r="A15" s="8" t="inlineStr">
        <is>
          <t>chargeStepMs</t>
        </is>
      </c>
      <c r="B15" s="8" t="n">
        <v>260</v>
      </c>
      <c r="C15" s="8" t="inlineStr">
        <is>
          <t>How long each charge segment holds before the next.</t>
        </is>
      </c>
    </row>
    <row r="16">
      <c r="A16" s="8" t="inlineStr">
        <is>
          <t>flyMs</t>
        </is>
      </c>
      <c r="B16" s="8" t="n">
        <v>120</v>
      </c>
      <c r="C16" s="8" t="inlineStr">
        <is>
          <t>How long a station takes to fly across and strike the target.</t>
        </is>
      </c>
    </row>
    <row r="17">
      <c r="A17" s="8" t="inlineStr">
        <is>
          <t>typeMs</t>
        </is>
      </c>
      <c r="B17" s="8" t="n">
        <v>32</v>
      </c>
      <c r="C17" s="8" t="inlineStr">
        <is>
          <t>Delay between letters of dialogue.</t>
        </is>
      </c>
    </row>
    <row r="18">
      <c r="A18" s="8" t="inlineStr">
        <is>
          <t>dialogueHoldMs</t>
        </is>
      </c>
      <c r="B18" s="8" t="n">
        <v>3000</v>
      </c>
      <c r="C18" s="8" t="inlineStr">
        <is>
          <t>How long a finished line stays on screen before it fades.</t>
        </is>
      </c>
    </row>
    <row r="19">
      <c r="A19" s="8" t="inlineStr">
        <is>
          <t>lowHpTalkPct</t>
        </is>
      </c>
      <c r="B19" s="8" t="n">
        <v>0.2</v>
      </c>
      <c r="C19" s="8" t="inlineStr">
        <is>
          <t>Fraction of max MS below which the winning / losing lines fire.</t>
        </is>
      </c>
    </row>
    <row r="20">
      <c r="A20" s="8" t="inlineStr">
        <is>
          <t>overloadSlotPer</t>
        </is>
      </c>
      <c r="B20" s="8" t="n">
        <v>0.25</v>
      </c>
      <c r="C20" s="8" t="inlineStr">
        <is>
          <t>Every this-much overflow (as a fraction of max MS) forces one more corrupted slot.</t>
        </is>
      </c>
    </row>
    <row r="21">
      <c r="A21" s="8" t="inlineStr">
        <is>
          <t>aiVarietyChance</t>
        </is>
      </c>
      <c r="B21" s="8" t="n">
        <v>0.22</v>
      </c>
      <c r="C21" s="8" t="inlineStr">
        <is>
          <t>Chance the AI takes a random affordable attack instead of its best one.</t>
        </is>
      </c>
    </row>
    <row r="22">
      <c r="A22" s="8" t="inlineStr">
        <is>
          <t>aiDebuffChance</t>
        </is>
      </c>
      <c r="B22" s="8" t="n">
        <v>0.5</v>
      </c>
      <c r="C22" s="8" t="inlineStr">
        <is>
          <t>Chance the AI spends a slot on a debuff the target is not already suffering.</t>
        </is>
      </c>
    </row>
    <row r="23">
      <c r="A23" s="8" t="inlineStr">
        <is>
          <t>aiGrowChance</t>
        </is>
      </c>
      <c r="B23" s="8" t="n">
        <v>0.45</v>
      </c>
      <c r="C23" s="8" t="inlineStr">
        <is>
          <t>How often the enemy takes an ADDLAYER ability when one is worth a slot. Like the debuff branch, this exists because the AI scores on damage per slot and a layer deals none - without it Bristle, Bile and Good Vibes sit in the pool and are never once chosen.</t>
        </is>
      </c>
    </row>
    <row r="24">
      <c r="A24" s="8" t="inlineStr">
        <is>
          <t>aiChargeBias</t>
        </is>
      </c>
      <c r="B24" s="8" t="n">
        <v>0.55</v>
      </c>
      <c r="C24" s="8" t="inlineStr">
        <is>
          <t>Chance the AI prefers an ability with charge segments when it can afford one.</t>
        </is>
      </c>
    </row>
    <row r="25">
      <c r="A25" s="8" t="inlineStr">
        <is>
          <t>shuffleLayersEachRound</t>
        </is>
      </c>
      <c r="B25" s="8" t="n">
        <v>1</v>
      </c>
      <c r="C25" s="8" t="inlineStr">
        <is>
          <t>Re-order every unit's layer queue at the start of each round.</t>
        </is>
      </c>
    </row>
    <row r="26">
      <c r="A26" s="8" t="inlineStr">
        <is>
          <t>maxExtraSlots</t>
        </is>
      </c>
      <c r="B26" s="8" t="n">
        <v>6</v>
      </c>
      <c r="C26" s="8" t="inlineStr">
        <is>
          <t>Hard cap on extra slots of any kind a line may carry.</t>
        </is>
      </c>
    </row>
    <row r="27">
      <c r="A27" s="8" t="inlineStr">
        <is>
          <t>loadoutPatternAlpha</t>
        </is>
      </c>
      <c r="B27" s="8" t="n">
        <v>0.13</v>
      </c>
      <c r="C27" s="8" t="inlineStr">
        <is>
          <t>How faint the emotion glyph tiled behind a Loadout button is.</t>
        </is>
      </c>
    </row>
    <row r="28">
      <c r="A28" s="8" t="inlineStr">
        <is>
          <t>loadoutSlots</t>
        </is>
      </c>
      <c r="B28" s="8" t="n">
        <v>4</v>
      </c>
      <c r="C28" s="8" t="inlineStr">
        <is>
          <t>Ability slots in one Loadout, and so cells per page.</t>
        </is>
      </c>
    </row>
    <row r="29">
      <c r="A29" s="8" t="inlineStr">
        <is>
          <t>equippedSlots</t>
        </is>
      </c>
      <c r="B29" s="8" t="n">
        <v>3</v>
      </c>
      <c r="C29" s="8" t="inlineStr">
        <is>
          <t>Loadouts the player carries into a battle.</t>
        </is>
      </c>
    </row>
    <row r="30">
      <c r="A30" s="8" t="inlineStr">
        <is>
          <t>slotArriveMs</t>
        </is>
      </c>
      <c r="B30" s="8" t="n">
        <v>260</v>
      </c>
      <c r="C30" s="8" t="inlineStr">
        <is>
          <t>Gap between one temporary slot flying in and the next.</t>
        </is>
      </c>
    </row>
    <row r="31">
      <c r="A31" s="8" t="inlineStr">
        <is>
          <t>impactFlashMs</t>
        </is>
      </c>
      <c r="B31" s="8" t="n">
        <v>45</v>
      </c>
      <c r="C31" s="8" t="inlineStr">
        <is>
          <t>White frame on a hit.</t>
        </is>
      </c>
    </row>
    <row r="32">
      <c r="A32" s="8" t="inlineStr">
        <is>
          <t>impactShakeMs</t>
        </is>
      </c>
      <c r="B32" s="8" t="n">
        <v>85</v>
      </c>
      <c r="C32" s="8" t="inlineStr">
        <is>
          <t>Shake after that white frame.</t>
        </is>
      </c>
    </row>
    <row r="33">
      <c r="A33" s="8" t="inlineStr">
        <is>
          <t>stunTurns</t>
        </is>
      </c>
      <c r="B33" s="8" t="n">
        <v>1</v>
      </c>
      <c r="C33" s="8" t="inlineStr">
        <is>
          <t>Turns a unit is stunned for once its last layer breaks. It skips its line and regrows nothing.</t>
        </is>
      </c>
    </row>
    <row r="34">
      <c r="A34" s="8" t="inlineStr">
        <is>
          <t>lineTravelMs</t>
        </is>
      </c>
      <c r="B34" s="8" t="n">
        <v>200</v>
      </c>
      <c r="C34" s="8" t="inlineStr">
        <is>
          <t>How long the line takes to slide the next station to the centre.</t>
        </is>
      </c>
    </row>
    <row r="35">
      <c r="A35" s="8" t="inlineStr">
        <is>
          <t>lineFlashMs</t>
        </is>
      </c>
      <c r="B35" s="8" t="n">
        <v>90</v>
      </c>
      <c r="C35" s="8" t="inlineStr">
        <is>
          <t>How long a centred station flashes before it strikes.</t>
        </is>
      </c>
    </row>
    <row r="36">
      <c r="A36" s="8" t="inlineStr">
        <is>
          <t>chargeShownMax</t>
        </is>
      </c>
      <c r="B36" s="8" t="n">
        <v>2</v>
      </c>
      <c r="C36" s="8" t="inlineStr">
        <is>
          <t>Most charge stations drawn in an ability box; beyond this it just repeats.</t>
        </is>
      </c>
    </row>
    <row r="37">
      <c r="A37" s="8" t="inlineStr">
        <is>
          <t>critChance</t>
        </is>
      </c>
      <c r="B37" s="8" t="n">
        <v>0.05</v>
      </c>
      <c r="C37" s="8" t="inlineStr">
        <is>
          <t>Default chance an attack crits, when the ability does not say otherwise.</t>
        </is>
      </c>
    </row>
    <row r="38">
      <c r="A38" s="8" t="inlineStr">
        <is>
          <t>frameMaxW</t>
        </is>
      </c>
      <c r="B38" s="8" t="n">
        <v>420</v>
      </c>
      <c r="C38" s="8" t="inlineStr">
        <is>
          <t>The phone frame's widest; nothing drawn for it may exceed this.</t>
        </is>
      </c>
    </row>
    <row r="39">
      <c r="A39" s="8" t="inlineStr">
        <is>
          <t>momentPx</t>
        </is>
      </c>
      <c r="B39" s="8" t="n">
        <v>2</v>
      </c>
      <c r="C39" s="8" t="inlineStr">
        <is>
          <t>Upscale of the title screen's mood line: bigger = chunkier pixels.</t>
        </is>
      </c>
    </row>
    <row r="40">
      <c r="A40" s="8" t="inlineStr">
        <is>
          <t>momentSize</t>
        </is>
      </c>
      <c r="B40" s="8" t="n">
        <v>10</v>
      </c>
      <c r="C40" s="8" t="inlineStr">
        <is>
          <t>LOGICAL type size; what you see is this times momentPx.</t>
        </is>
      </c>
    </row>
    <row r="41">
      <c r="A41" s="8" t="inlineStr">
        <is>
          <t>critTagMs</t>
        </is>
      </c>
      <c r="B41" s="8" t="n">
        <v>700</v>
      </c>
      <c r="C41" s="8" t="inlineStr">
        <is>
          <t>How long a plain positioned tag stays up.</t>
        </is>
      </c>
    </row>
    <row r="42">
      <c r="A42" s="8" t="inlineStr">
        <is>
          <t>critHoldMs</t>
        </is>
      </c>
      <c r="B42" s="8" t="n">
        <v>1000</v>
      </c>
      <c r="C42" s="8" t="inlineStr">
        <is>
          <t>How long CRITICAL is held before the earned slot flies in.</t>
        </is>
      </c>
    </row>
    <row r="43">
      <c r="A43" s="8" t="inlineStr">
        <is>
          <t>critFlashMs</t>
        </is>
      </c>
      <c r="B43" s="8" t="n">
        <v>260</v>
      </c>
      <c r="C43" s="8" t="inlineStr">
        <is>
          <t>One wash of the screen in the attacking emotion's colour.</t>
        </is>
      </c>
    </row>
    <row r="44">
      <c r="A44" s="8" t="inlineStr">
        <is>
          <t>critSlotFlyMs</t>
        </is>
      </c>
      <c r="B44" s="8" t="n">
        <v>520</v>
      </c>
      <c r="C44" s="8" t="inlineStr">
        <is>
          <t>The earned slot travelling from the tag to the line.</t>
        </is>
      </c>
    </row>
    <row r="45">
      <c r="A45" s="8" t="inlineStr">
        <is>
          <t>critMult</t>
        </is>
      </c>
      <c r="B45" s="8" t="n">
        <v>2</v>
      </c>
      <c r="C45" s="8" t="inlineStr">
        <is>
          <t>Damage multiplier on a critical.</t>
        </is>
      </c>
    </row>
    <row r="46">
      <c r="A46" s="8" t="inlineStr">
        <is>
          <t>statusStepMs</t>
        </is>
      </c>
      <c r="B46" s="8" t="n">
        <v>2000</v>
      </c>
      <c r="C46" s="8" t="inlineStr">
        <is>
          <t>A station that applies a status holds this long, so it can be read.</t>
        </is>
      </c>
    </row>
    <row r="47">
      <c r="A47" s="8" t="inlineStr">
        <is>
          <t>attackStepMs</t>
        </is>
      </c>
      <c r="B47" s="8" t="n">
        <v>600</v>
      </c>
      <c r="C47" s="8" t="inlineStr">
        <is>
          <t>Total time one executed station takes, start to finish.</t>
        </is>
      </c>
    </row>
    <row r="48">
      <c r="A48" s="8" t="inlineStr">
        <is>
          <t>lineAlertFlashes</t>
        </is>
      </c>
      <c r="B48" s="8" t="n">
        <v>3</v>
      </c>
      <c r="C48" s="8" t="inlineStr">
        <is>
          <t>How many times a line flashes white before it starts executing.</t>
        </is>
      </c>
    </row>
    <row r="49">
      <c r="A49" s="8" t="inlineStr">
        <is>
          <t>lineAlertMs</t>
        </is>
      </c>
      <c r="B49" s="8" t="n">
        <v>110</v>
      </c>
      <c r="C49" s="8" t="inlineStr">
        <is>
          <t>Length of one of those flashes.</t>
        </is>
      </c>
    </row>
    <row r="50">
      <c r="A50" s="8" t="inlineStr">
        <is>
          <t>unsheathMs</t>
        </is>
      </c>
      <c r="B50" s="8" t="n">
        <v>340</v>
      </c>
      <c r="C50" s="8" t="inlineStr">
        <is>
          <t>How long one interface element takes to draw itself into place.</t>
        </is>
      </c>
    </row>
    <row r="51">
      <c r="A51" s="8" t="inlineStr">
        <is>
          <t>unsheathGapMs</t>
        </is>
      </c>
      <c r="B51" s="8" t="n">
        <v>110</v>
      </c>
      <c r="C51" s="8" t="inlineStr">
        <is>
          <t>Gap before the next element starts — smaller than unsheathMs, so they overlap.</t>
        </is>
      </c>
    </row>
    <row r="52">
      <c r="A52" s="8" t="inlineStr">
        <is>
          <t>longPressMs</t>
        </is>
      </c>
      <c r="B52" s="8" t="n">
        <v>420</v>
      </c>
      <c r="C52" s="8" t="inlineStr">
        <is>
          <t>How long an ability must be held before its tooltip opens.</t>
        </is>
      </c>
    </row>
    <row r="53">
      <c r="A53" s="8" t="inlineStr">
        <is>
          <t>swipeMinPx</t>
        </is>
      </c>
      <c r="B53" s="8" t="n">
        <v>36</v>
      </c>
      <c r="C53" s="8" t="inlineStr">
        <is>
          <t>How far a pointer must travel across the panel to count as a page swipe.</t>
        </is>
      </c>
    </row>
    <row r="54">
      <c r="A54" s="8" t="inlineStr">
        <is>
          <t>tagGrowth</t>
        </is>
      </c>
      <c r="B54" s="8" t="n">
        <v>0.85</v>
      </c>
      <c r="C54" s="8" t="inlineStr">
        <is>
          <t>How much an accumulating tag grows once it holds a full max-MS worth of change.</t>
        </is>
      </c>
    </row>
    <row r="55">
      <c r="A55" s="8" t="inlineStr">
        <is>
          <t>tagBreathSlowMs</t>
        </is>
      </c>
      <c r="B55" s="8" t="n">
        <v>1700</v>
      </c>
      <c r="C55" s="8" t="inlineStr">
        <is>
          <t>Breathing period of an accumulating tag holding almost nothing.</t>
        </is>
      </c>
    </row>
    <row r="56">
      <c r="A56" s="8" t="inlineStr">
        <is>
          <t>tagBreathFastMs</t>
        </is>
      </c>
      <c r="B56" s="8" t="n">
        <v>380</v>
      </c>
      <c r="C56" s="8" t="inlineStr">
        <is>
          <t>Breathing period of a tag holding a full max-MS worth — it flashes far harder.</t>
        </is>
      </c>
    </row>
    <row r="57">
      <c r="A57" s="8" t="inlineStr">
        <is>
          <t>gaugeW</t>
        </is>
      </c>
      <c r="B57" s="8" t="n">
        <v>134</v>
      </c>
      <c r="C57" s="8" t="inlineStr">
        <is>
          <t>Gauge canvas width in logical pixels. Lower = chunkier pixels, coarser value steps.</t>
        </is>
      </c>
    </row>
    <row r="58">
      <c r="A58" s="8" t="inlineStr">
        <is>
          <t>gaugeH</t>
        </is>
      </c>
      <c r="B58" s="8" t="n">
        <v>22</v>
      </c>
      <c r="C58" s="8" t="inlineStr">
        <is>
          <t>Gauge canvas height in logical pixels — tall enough for the end caps.</t>
        </is>
      </c>
    </row>
    <row r="59">
      <c r="A59" s="8" t="inlineStr">
        <is>
          <t>barCoreH</t>
        </is>
      </c>
      <c r="B59" s="8" t="n">
        <v>12</v>
      </c>
      <c r="C59" s="8" t="inlineStr">
        <is>
          <t>Height of the bar's interior, before the wave, in logical pixels.</t>
        </is>
      </c>
    </row>
    <row r="60">
      <c r="A60" s="8" t="inlineStr">
        <is>
          <t>barWaveAmp</t>
        </is>
      </c>
      <c r="B60" s="8" t="n">
        <v>1.4</v>
      </c>
      <c r="C60" s="8" t="inlineStr">
        <is>
          <t>Wave amplitude on the bar's silhouette (reference: 9.8 of a 1026-long bar).</t>
        </is>
      </c>
    </row>
    <row r="61">
      <c r="A61" s="8" t="inlineStr">
        <is>
          <t>barWaveHalf</t>
        </is>
      </c>
      <c r="B61" s="8" t="n">
        <v>5.6</v>
      </c>
      <c r="C61" s="8" t="inlineStr">
        <is>
          <t>Half-period of the silhouette wave, i.e. one arc (reference: 43.3).</t>
        </is>
      </c>
    </row>
    <row r="62">
      <c r="A62" s="8" t="inlineStr">
        <is>
          <t>barWaveSpeed</t>
        </is>
      </c>
      <c r="B62" s="8" t="n">
        <v>0.1</v>
      </c>
      <c r="C62" s="8" t="inlineStr">
        <is>
          <t>How fast the silhouette wave travels.</t>
        </is>
      </c>
    </row>
    <row r="63">
      <c r="A63" s="8" t="inlineStr">
        <is>
          <t>ecBandFrac</t>
        </is>
      </c>
      <c r="B63" s="8" t="n">
        <v>0.82</v>
      </c>
      <c r="C63" s="8" t="inlineStr">
        <is>
          <t>Charge fill height as a fraction of the bar interior (reference: 76 of 92.74).</t>
        </is>
      </c>
    </row>
    <row r="64">
      <c r="A64" s="8" t="inlineStr">
        <is>
          <t>ecWaveAmp</t>
        </is>
      </c>
      <c r="B64" s="8" t="n">
        <v>0.7</v>
      </c>
      <c r="C64" s="8" t="inlineStr">
        <is>
          <t>Amplitude of the charge fill's own wave — long and shallow, per the reference.</t>
        </is>
      </c>
    </row>
    <row r="65">
      <c r="A65" s="8" t="inlineStr">
        <is>
          <t>ecWaveHalf</t>
        </is>
      </c>
      <c r="B65" s="8" t="n">
        <v>19</v>
      </c>
      <c r="C65" s="8" t="inlineStr">
        <is>
          <t>Half-period of the charge fill's wave. Much longer than the silhouette's.</t>
        </is>
      </c>
    </row>
    <row r="66">
      <c r="A66" s="8" t="inlineStr">
        <is>
          <t>ecWaveSpeed</t>
        </is>
      </c>
      <c r="B66" s="8" t="n">
        <v>0.05</v>
      </c>
      <c r="C66" s="8" t="inlineStr">
        <is>
          <t>How fast the charge wave travels.</t>
        </is>
      </c>
    </row>
    <row r="67">
      <c r="A67" s="8" t="inlineStr">
        <is>
          <t>ecInnerFrac</t>
        </is>
      </c>
      <c r="B67" s="8" t="n">
        <v>0.5</v>
      </c>
      <c r="C67" s="8" t="inlineStr">
        <is>
          <t>Inner charge bar thickness, as a fraction of the outer one. Same shape, dodged over it.</t>
        </is>
      </c>
    </row>
    <row r="68">
      <c r="A68" s="8" t="inlineStr">
        <is>
          <t>ecInnerAmt</t>
        </is>
      </c>
      <c r="B68" s="8" t="n">
        <v>0.4</v>
      </c>
      <c r="C68" s="8" t="inlineStr">
        <is>
          <t>How hard the inner charge bar dodges. 1 blows out to white; lower keeps the hue.</t>
        </is>
      </c>
    </row>
    <row r="69">
      <c r="A69" s="8" t="inlineStr">
        <is>
          <t>arcSpacing</t>
        </is>
      </c>
      <c r="B69" s="8" t="n">
        <v>3.1</v>
      </c>
      <c r="C69" s="8" t="inlineStr">
        <is>
          <t>Spacing of the background arc texture (reference: 23.83).</t>
        </is>
      </c>
    </row>
    <row r="70">
      <c r="A70" s="8" t="inlineStr">
        <is>
          <t>arcRadius</t>
        </is>
      </c>
      <c r="B70" s="8" t="n">
        <v>12.6</v>
      </c>
      <c r="C70" s="8" t="inlineStr">
        <is>
          <t>Radius of the background arcs (reference: 96.95).</t>
        </is>
      </c>
    </row>
    <row r="71">
      <c r="A71" s="8" t="inlineStr">
        <is>
          <t>arcAlpha</t>
        </is>
      </c>
      <c r="B71" s="8" t="n">
        <v>0.11</v>
      </c>
      <c r="C71" s="8" t="inlineStr">
        <is>
          <t>How strongly the arcs show. They only read against the unlit stretch.</t>
        </is>
      </c>
    </row>
    <row r="72">
      <c r="A72" s="8" t="inlineStr">
        <is>
          <t>capW</t>
        </is>
      </c>
      <c r="B72" s="8" t="n">
        <v>5</v>
      </c>
      <c r="C72" s="8" t="inlineStr">
        <is>
          <t>End-cap width in logical pixels.</t>
        </is>
      </c>
    </row>
    <row r="73">
      <c r="A73" s="8" t="inlineStr">
        <is>
          <t>capR</t>
        </is>
      </c>
      <c r="B73" s="8" t="n">
        <v>2</v>
      </c>
      <c r="C73" s="8" t="inlineStr">
        <is>
          <t>End-cap corner rounding in logical pixels.</t>
        </is>
      </c>
    </row>
    <row r="74">
      <c r="A74" s="8" t="inlineStr">
        <is>
          <t>ballFlyMs</t>
        </is>
      </c>
      <c r="B74" s="8" t="n">
        <v>330</v>
      </c>
      <c r="C74" s="8" t="inlineStr">
        <is>
          <t>How long a ball of light takes to arc from its indicator into the bar.</t>
        </is>
      </c>
    </row>
    <row r="75">
      <c r="A75" s="8" t="inlineStr">
        <is>
          <t>settleStepMs</t>
        </is>
      </c>
      <c r="B75" s="8" t="n">
        <v>70</v>
      </c>
      <c r="C75" s="8" t="inlineStr">
        <is>
          <t>Pause between one hit landing on a bar and the next setting off.</t>
        </is>
      </c>
    </row>
    <row r="76">
      <c r="A76" s="8" t="inlineStr">
        <is>
          <t>fnumMinPx</t>
        </is>
      </c>
      <c r="B76" s="8" t="n">
        <v>20</v>
      </c>
      <c r="C76" s="8" t="inlineStr">
        <is>
          <t>Smallest a floating damage number gets.</t>
        </is>
      </c>
    </row>
    <row r="77">
      <c r="A77" s="8" t="inlineStr">
        <is>
          <t>fnumMaxPx</t>
        </is>
      </c>
      <c r="B77" s="8" t="n">
        <v>62</v>
      </c>
      <c r="C77" s="8" t="inlineStr">
        <is>
          <t>Largest — reached when one hit costs a whole stamina bar.</t>
        </is>
      </c>
    </row>
    <row r="78">
      <c r="A78" s="8" t="inlineStr">
        <is>
          <t>fnumRisePx</t>
        </is>
      </c>
      <c r="B78" s="8" t="n">
        <v>34</v>
      </c>
      <c r="C78" s="8" t="inlineStr">
        <is>
          <t>How far a floating number travels up before it settles.</t>
        </is>
      </c>
    </row>
    <row r="79">
      <c r="A79" s="8" t="inlineStr">
        <is>
          <t>fnumInMs</t>
        </is>
      </c>
      <c r="B79" s="8" t="n">
        <v>600</v>
      </c>
      <c r="C79" s="8" t="inlineStr">
        <is>
          <t>Fade in while rising.</t>
        </is>
      </c>
    </row>
    <row r="80">
      <c r="A80" s="8" t="inlineStr">
        <is>
          <t>fnumHoldMs</t>
        </is>
      </c>
      <c r="B80" s="8" t="n">
        <v>600</v>
      </c>
      <c r="C80" s="8" t="inlineStr">
        <is>
          <t>Easing to a stop.</t>
        </is>
      </c>
    </row>
    <row r="81">
      <c r="A81" s="8" t="inlineStr">
        <is>
          <t>fnumOutMs</t>
        </is>
      </c>
      <c r="B81" s="8" t="n">
        <v>400</v>
      </c>
      <c r="C81" s="8" t="inlineStr">
        <is>
          <t>Fade out.</t>
        </is>
      </c>
    </row>
    <row r="82">
      <c r="A82" s="8" t="inlineStr">
        <is>
          <t>fnumLingerMs</t>
        </is>
      </c>
      <c r="B82" s="8" t="n">
        <v>300</v>
      </c>
      <c r="C82" s="8" t="inlineStr">
        <is>
          <t>Extra time a floating number holds before it goes.</t>
        </is>
      </c>
    </row>
    <row r="83">
      <c r="A83" s="8" t="inlineStr">
        <is>
          <t>hitShards</t>
        </is>
      </c>
      <c r="B83" s="8" t="n">
        <v>3</v>
      </c>
      <c r="C83" s="8" t="inlineStr">
        <is>
          <t>Shapes thrown off where an attack lands.</t>
        </is>
      </c>
    </row>
    <row r="84">
      <c r="A84" s="8" t="inlineStr">
        <is>
          <t>hitShardMs</t>
        </is>
      </c>
      <c r="B84" s="8" t="n">
        <v>260</v>
      </c>
      <c r="C84" s="8" t="inlineStr">
        <is>
          <t>How long one of those shapes flashes.</t>
        </is>
      </c>
    </row>
    <row r="85">
      <c r="A85" s="8" t="inlineStr">
        <is>
          <t>actionLineMs</t>
        </is>
      </c>
      <c r="B85" s="8" t="n">
        <v>620</v>
      </c>
      <c r="C85" s="8" t="inlineStr">
        <is>
          <t>Buff / debuff streaks over the target.</t>
        </is>
      </c>
    </row>
    <row r="86">
      <c r="A86" s="8" t="inlineStr">
        <is>
          <t>statusFxMs</t>
        </is>
      </c>
      <c r="B86" s="8" t="n">
        <v>1000</v>
      </c>
      <c r="C86" s="8" t="inlineStr">
        <is>
          <t>Distortion and bloom when a status takes hold.</t>
        </is>
      </c>
    </row>
    <row r="87">
      <c r="A87" s="8" t="inlineStr">
        <is>
          <t>backdropGlow</t>
        </is>
      </c>
      <c r="B87" s="8" t="n">
        <v>0.55</v>
      </c>
      <c r="C87" s="8" t="inlineStr">
        <is>
          <t>How strongly the enemy's emotion tints the battle backdrop.</t>
        </is>
      </c>
    </row>
    <row r="88">
      <c r="A88" s="8" t="inlineStr">
        <is>
          <t>barTweenMs</t>
        </is>
      </c>
      <c r="B88" s="8" t="n">
        <v>1000</v>
      </c>
      <c r="C88" s="8" t="inlineStr">
        <is>
          <t>How long a bar takes to travel to its new value once a hit lands.</t>
        </is>
      </c>
    </row>
    <row r="89">
      <c r="A89" s="8" t="inlineStr">
        <is>
          <t>overloadHoldMs</t>
        </is>
      </c>
      <c r="B89" s="8" t="n">
        <v>2000</v>
      </c>
      <c r="C89" s="8" t="inlineStr">
        <is>
          <t>How long the OVERLOAD tag and its slow motion last.</t>
        </is>
      </c>
    </row>
    <row r="90">
      <c r="A90" s="8" t="inlineStr">
        <is>
          <t>ecScrollSpeed</t>
        </is>
      </c>
      <c r="B90" s="8" t="n">
        <v>0.0044</v>
      </c>
      <c r="C90" s="8" t="inlineStr">
        <is>
          <t>How fast the charge gradient drifts along the bar.</t>
        </is>
      </c>
    </row>
    <row r="91">
      <c r="A91" s="8" t="inlineStr">
        <is>
          <t>themeOpening</t>
        </is>
      </c>
      <c r="B91" s="8" t="inlineStr">
        <is>
          <t>audio/theme-opening.wav</t>
        </is>
      </c>
      <c r="C91" s="8" t="inlineStr">
        <is>
          <t>Theme part 1: plays once.</t>
        </is>
      </c>
    </row>
    <row r="92">
      <c r="A92" s="8" t="inlineStr">
        <is>
          <t>themeLoop</t>
        </is>
      </c>
      <c r="B92" s="8" t="inlineStr">
        <is>
          <t>audio/theme-loop.wav</t>
        </is>
      </c>
      <c r="C92" s="8" t="inlineStr">
        <is>
          <t>Theme part 2: loops for ever, scheduled to start the instant part 1 ends.</t>
        </is>
      </c>
    </row>
    <row r="93">
      <c r="A93" s="8" t="inlineStr">
        <is>
          <t>musicFadeMs</t>
        </is>
      </c>
      <c r="B93" s="8" t="n">
        <v>900</v>
      </c>
      <c r="C93" s="8" t="inlineStr">
        <is>
          <t>How quickly the theme fades out when the battle ends.</t>
        </is>
      </c>
    </row>
    <row r="94">
      <c r="A94" s="8" t="inlineStr">
        <is>
          <t>musicVolume</t>
        </is>
      </c>
      <c r="B94" s="8" t="n">
        <v>1.6</v>
      </c>
      <c r="C94" s="8" t="inlineStr">
        <is>
          <t>Theme level, and ABOVE 1 on purpose: this is a gain, not a percentage. The battle theme is mastered about 10 dB quieter than the map's two, so it needs lifting to sit level with them - measured busy RMS -20.1 dBFS against -9.2 and -10.6, all three now landing at -16.0. Its peak is -5.2 dBFS, so 1.6x leaves headroom and cannot clip. Lower this if the sound effects are getting buried.</t>
        </is>
      </c>
    </row>
    <row r="95">
      <c r="A95" s="8" t="inlineStr">
        <is>
          <t>sfxVolume</t>
        </is>
      </c>
      <c r="B95" s="8" t="n">
        <v>1.05</v>
      </c>
      <c r="C95" s="8" t="inlineStr">
        <is>
          <t>Sound-effect level, mixed against musicVolume.</t>
        </is>
      </c>
    </row>
    <row r="96">
      <c r="A96" s="8" t="inlineStr">
        <is>
          <t>layerEase</t>
        </is>
      </c>
      <c r="B96" s="8" t="n">
        <v>0.16</v>
      </c>
      <c r="C96" s="8" t="inlineStr">
        <is>
          <t>How fast layers slide to their new slot. Higher = snappier.</t>
        </is>
      </c>
    </row>
    <row r="97">
      <c r="A97" s="8" t="inlineStr">
        <is>
          <t>layerWaveDelay</t>
        </is>
      </c>
      <c r="B97" s="8" t="n">
        <v>0.85</v>
      </c>
      <c r="C97" s="8" t="inlineStr">
        <is>
          <t>Phase offset per slot, so breathing travels outward in waves.</t>
        </is>
      </c>
    </row>
    <row r="98">
      <c r="A98" s="8" t="inlineStr">
        <is>
          <t>layerInnerShrink</t>
        </is>
      </c>
      <c r="B98" s="8" t="n">
        <v>0.85</v>
      </c>
      <c r="C98" s="8" t="inlineStr">
        <is>
          <t>Curve of the radius falloff toward the centre.</t>
        </is>
      </c>
    </row>
    <row r="99">
      <c r="A99" s="8" t="inlineStr">
        <is>
          <t>layerFill</t>
        </is>
      </c>
      <c r="B99" s="8" t="n">
        <v>0.42</v>
      </c>
      <c r="C99" s="8" t="inlineStr">
        <is>
          <t>Ring thickness as a fraction of the gap to the next slot.</t>
        </is>
      </c>
    </row>
    <row r="100">
      <c r="A100" s="8" t="inlineStr">
        <is>
          <t>layerOuterThick</t>
        </is>
      </c>
      <c r="B100" s="8" t="n">
        <v>2</v>
      </c>
      <c r="C100" s="8" t="inlineStr">
        <is>
          <t>Thickness multiplier for the outermost (active) layer.</t>
        </is>
      </c>
    </row>
    <row r="101">
      <c r="A101" s="8" t="inlineStr">
        <is>
          <t>layerInnerThick</t>
        </is>
      </c>
      <c r="B101" s="8" t="n">
        <v>0.9</v>
      </c>
      <c r="C101" s="8" t="inlineStr">
        <is>
          <t>Thickness multiplier for every layer behind it.</t>
        </is>
      </c>
    </row>
    <row r="102">
      <c r="A102" s="8" t="inlineStr">
        <is>
          <t>layerFlashMs</t>
        </is>
      </c>
      <c r="B102" s="8" t="n">
        <v>50</v>
      </c>
      <c r="C102" s="8" t="inlineStr">
        <is>
          <t>How long a struck layer flashes white before vanishing.</t>
        </is>
      </c>
    </row>
    <row r="103">
      <c r="A103" s="8" t="inlineStr">
        <is>
          <t>layerGapMs</t>
        </is>
      </c>
      <c r="B103" s="8" t="n">
        <v>18</v>
      </c>
      <c r="C103" s="8" t="inlineStr">
        <is>
          <t>Beat between the layer vanishing and it regrowing at the back.</t>
        </is>
      </c>
    </row>
    <row r="104">
      <c r="A104" s="8" t="inlineStr">
        <is>
          <t>layerRegrowMs</t>
        </is>
      </c>
      <c r="B104" s="8" t="n">
        <v>380</v>
      </c>
      <c r="C104" s="8" t="inlineStr">
        <is>
          <t>How long the regrow beat holds before resolution continues.</t>
        </is>
      </c>
    </row>
    <row r="105">
      <c r="A105" s="8" t="inlineStr">
        <is>
          <t>enemyRingBaseR</t>
        </is>
      </c>
      <c r="B105" s="8" t="n">
        <v>28</v>
      </c>
      <c r="C105" s="8" t="inlineStr">
        <is>
          <t>Enemy: radius of the outermost ring, in logical canvas pixels.</t>
        </is>
      </c>
    </row>
    <row r="106">
      <c r="A106" s="8" t="inlineStr">
        <is>
          <t>enemyShapeWeak</t>
        </is>
      </c>
      <c r="B106" s="8" t="inlineStr">
        <is>
          <t>TRIANGLE</t>
        </is>
      </c>
      <c r="C106" s="8" t="inlineStr">
        <is>
          <t>Battle silhouette for a WEAK enemy: its layer rings are concentric TRIANGLES.</t>
        </is>
      </c>
    </row>
    <row r="107">
      <c r="A107" s="8" t="inlineStr">
        <is>
          <t>enemyShapeRegular</t>
        </is>
      </c>
      <c r="B107" s="8" t="inlineStr">
        <is>
          <t>CIRCLE</t>
        </is>
      </c>
      <c r="C107" s="8" t="inlineStr">
        <is>
          <t>Battle silhouette for a REGULAR enemy. The original, and still the default for any tier the sheet does not name.</t>
        </is>
      </c>
    </row>
    <row r="108">
      <c r="A108" s="8" t="inlineStr">
        <is>
          <t>enemyShapeStrong</t>
        </is>
      </c>
      <c r="B108" s="8" t="inlineStr">
        <is>
          <t>STAR</t>
        </is>
      </c>
      <c r="C108" s="8" t="inlineStr">
        <is>
          <t>Battle silhouette for a STRONG enemy: concentric stars of enemyStarPoints points.</t>
        </is>
      </c>
    </row>
    <row r="109">
      <c r="A109" s="8" t="inlineStr">
        <is>
          <t>enemyStarPoints</t>
        </is>
      </c>
      <c r="B109" s="8" t="n">
        <v>7</v>
      </c>
      <c r="C109" s="8" t="inlineStr">
        <is>
          <t>Points on a STRONG enemy's star.</t>
        </is>
      </c>
    </row>
    <row r="110">
      <c r="A110" s="8" t="inlineStr">
        <is>
          <t>enemyStarInner</t>
        </is>
      </c>
      <c r="B110" s="8" t="n">
        <v>0.62</v>
      </c>
      <c r="C110" s="8" t="inlineStr">
        <is>
          <t>A star's valley radius as a fraction of its point radius. LOWER = narrower, sharper points; HIGHER = a blunter, rounder star. Below about 0.45 the thin inner rings start breaking up at this canvas size.</t>
        </is>
      </c>
    </row>
    <row r="111">
      <c r="A111" s="8" t="inlineStr">
        <is>
          <t>enemyShapeFill</t>
        </is>
      </c>
      <c r="B111" s="8" t="n">
        <v>1.6</v>
      </c>
      <c r="C111" s="8" t="inlineStr">
        <is>
          <t>Band thickness multiplier for a SHAPED enemy only (triangle or star), on top of layerFill. A shape squeezes every band's pixel thickness by how narrow it is at that angle, and at the default the thin inner rings fell under one pixel and broke into dashes. THERE IS A CEILING AS WELL AS A FLOOR: at 2.0 the gaps between bands drop under a pixel and the rings merge into one solid shape, which is a filled triangle rather than concentric ones. Circles are not affected.</t>
        </is>
      </c>
    </row>
    <row r="112">
      <c r="A112" s="8" t="inlineStr">
        <is>
          <t>enemyShapeBreathe</t>
        </is>
      </c>
      <c r="B112" s="8" t="n">
        <v>0.6</v>
      </c>
      <c r="C112" s="8" t="inlineStr">
        <is>
          <t>How much of the usual ring breathing a SHAPED enemy does. Full amplitude closes the gap between two neighbouring bands, and with the thicker bands above that swallows one of them. Together with enemyShapeFill this is what keeps every ring continuous at every angle - see tools/check_rings.js.</t>
        </is>
      </c>
    </row>
    <row r="113">
      <c r="A113" s="8" t="inlineStr">
        <is>
          <t>enemyTriRound</t>
        </is>
      </c>
      <c r="B113" s="8" t="n">
        <v>0.72</v>
      </c>
      <c r="C113" s="8" t="inlineStr">
        <is>
          <t>How far a WEAK enemy's triangle goes toward a TRUE triangle: 1 is sharp corners, 0 is a circle. It is not there to soften the look - a true triangle squeezes the thin inner rings under one pixel near the flat sides and they disappear.</t>
        </is>
      </c>
    </row>
    <row r="114">
      <c r="A114" s="8" t="inlineStr">
        <is>
          <t>enemyShapeSpin</t>
        </is>
      </c>
      <c r="B114" s="8" t="n">
        <v>0.018</v>
      </c>
      <c r="C114" s="8" t="inlineStr">
        <is>
          <t>Radians per frame a triangle or a star turns. A polygon that never moves reads as a logo; a slow turn reads as a creature. 0 stops it.</t>
        </is>
      </c>
    </row>
    <row r="115">
      <c r="A115" s="8" t="inlineStr">
        <is>
          <t>enemyRingScaleWeak</t>
        </is>
      </c>
      <c r="B115" s="8" t="n">
        <v>0.85</v>
      </c>
      <c r="C115" s="8" t="inlineStr">
        <is>
          <t>Overall size of a WEAK enemy in battle, against a REGULAR one.</t>
        </is>
      </c>
    </row>
    <row r="116">
      <c r="A116" s="8" t="inlineStr">
        <is>
          <t>enemyRingScaleStrong</t>
        </is>
      </c>
      <c r="B116" s="8" t="n">
        <v>1.05</v>
      </c>
      <c r="C116" s="8" t="inlineStr">
        <is>
          <t>Overall size of a STRONG enemy in battle. Do not raise much: the canvas is 64px and the rings breathe outward past this.</t>
        </is>
      </c>
    </row>
    <row r="117">
      <c r="A117" s="8" t="inlineStr">
        <is>
          <t>rideScaleWeak</t>
        </is>
      </c>
      <c r="B117" s="8" t="n">
        <v>0.78</v>
      </c>
      <c r="C117" s="8" t="inlineStr">
        <is>
          <t>How big a WEAK enemy is during a ride, against its element row's own size. Do not go much lower: below about nine pixels across, three points stop reading as a triangle and it is just a small blob.</t>
        </is>
      </c>
    </row>
    <row r="118">
      <c r="A118" s="8" t="inlineStr">
        <is>
          <t>rideScaleStrong</t>
        </is>
      </c>
      <c r="B118" s="8" t="n">
        <v>1.55</v>
      </c>
      <c r="C118" s="8" t="inlineStr">
        <is>
          <t>How big a STRONG enemy is during a ride. Size is the tier cue that survives being glanced at; the silhouette is the one that survives being looked at.</t>
        </is>
      </c>
    </row>
    <row r="119">
      <c r="A119" s="8" t="inlineStr">
        <is>
          <t>rideEnemyScale</t>
        </is>
      </c>
      <c r="B119" s="8" t="n">
        <v>1.35</v>
      </c>
      <c r="C119" s="8" t="inlineStr">
        <is>
          <t>How big EVERY enemy is on a ride, on top of its tier scale. The tier numbers above are ratios between enemies; this is the size of the whole family against the crystals and segments sharing the window with them, and it is what makes an entity read as a creature rather than as one more piece of debris.</t>
        </is>
      </c>
    </row>
    <row r="120">
      <c r="A120" s="8" t="inlineStr">
        <is>
          <t>enemyTrail</t>
        </is>
      </c>
      <c r="B120" s="8" t="n">
        <v>5</v>
      </c>
      <c r="C120" s="8" t="inlineStr">
        <is>
          <t>Ghosts left behind a moving enemy. 0 turns the trail off.</t>
        </is>
      </c>
    </row>
    <row r="121">
      <c r="A121" s="8" t="inlineStr">
        <is>
          <t>enemyTrailMs</t>
        </is>
      </c>
      <c r="B121" s="8" t="n">
        <v>55</v>
      </c>
      <c r="C121" s="8" t="inlineStr">
        <is>
          <t>How often a ghost is laid down, in ms. Longer spaces the trail out; shorter stacks it into a smear. Sampled on a timer rather than per frame so the trail is the same length whatever the frame rate.</t>
        </is>
      </c>
    </row>
    <row r="122">
      <c r="A122" s="8" t="inlineStr">
        <is>
          <t>enemyTrailFade</t>
        </is>
      </c>
      <c r="B122" s="8" t="n">
        <v>0.42</v>
      </c>
      <c r="C122" s="8" t="inlineStr">
        <is>
          <t>How strongly the newest ghost shows, against the enemy itself. Every one behind it is fainter again.</t>
        </is>
      </c>
    </row>
    <row r="123">
      <c r="A123" s="8" t="inlineStr">
        <is>
          <t>enemyTrailSpread</t>
        </is>
      </c>
      <c r="B123" s="8" t="n">
        <v>0.34</v>
      </c>
      <c r="C123" s="8" t="inlineStr">
        <is>
          <t>How far back each ghost is pushed, as a fraction of the enemy's own size. An entity drifts at less than half the track's speed, so its TRUE past positions sit almost on top of each other and draw a halo rather than a tail - this is what gives the wake length. 0 makes it a strict position history again.</t>
        </is>
      </c>
    </row>
    <row r="124">
      <c r="A124" s="8" t="inlineStr">
        <is>
          <t>enemyRingSpacing</t>
        </is>
      </c>
      <c r="B124" s="8" t="n">
        <v>4.7</v>
      </c>
      <c r="C124" s="8" t="inlineStr">
        <is>
          <t>Enemy: radius step between one layer and the next in. baseR/spacing sets how many fit.</t>
        </is>
      </c>
    </row>
    <row r="125">
      <c r="A125" s="8" t="inlineStr">
        <is>
          <t>enemyRingBreathe</t>
        </is>
      </c>
      <c r="B125" s="8" t="n">
        <v>1.6</v>
      </c>
      <c r="C125" s="8" t="inlineStr">
        <is>
          <t>Enemy ring breathing amplitude.</t>
        </is>
      </c>
    </row>
    <row r="126">
      <c r="A126" s="8" t="inlineStr">
        <is>
          <t>playerRingBaseR</t>
        </is>
      </c>
      <c r="B126" s="8" t="n">
        <v>300</v>
      </c>
      <c r="C126" s="8" t="inlineStr">
        <is>
          <t>Player: radius of the outermost ring. Huge on purpose — a big circle reads as a nearly flat band.</t>
        </is>
      </c>
    </row>
    <row r="127">
      <c r="A127" s="8" t="inlineStr">
        <is>
          <t>playerRingSpacing</t>
        </is>
      </c>
      <c r="B127" s="8" t="n">
        <v>5</v>
      </c>
      <c r="C127" s="8" t="inlineStr">
        <is>
          <t>Player: radius step between layers. Small, so all six sit in a thin arc despite the huge radius.</t>
        </is>
      </c>
    </row>
    <row r="128">
      <c r="A128" s="8" t="inlineStr">
        <is>
          <t>playerRingBreathe</t>
        </is>
      </c>
      <c r="B128" s="8" t="n">
        <v>2.2</v>
      </c>
      <c r="C128" s="8" t="inlineStr">
        <is>
          <t>Player ring breathing amplitude.</t>
        </is>
      </c>
    </row>
    <row r="129">
      <c r="A129" s="8" t="inlineStr">
        <is>
          <t>playerCanvasW</t>
        </is>
      </c>
      <c r="B129" s="8" t="n">
        <v>120</v>
      </c>
      <c r="C129" s="8" t="inlineStr">
        <is>
          <t>Player ring canvas width in logical pixels (wide and short).</t>
        </is>
      </c>
    </row>
    <row r="130">
      <c r="A130" s="8" t="inlineStr">
        <is>
          <t>playerCanvasH</t>
        </is>
      </c>
      <c r="B130" s="8" t="n">
        <v>32</v>
      </c>
      <c r="C130" s="8" t="inlineStr">
        <is>
          <t>Player ring canvas height in logical pixels.</t>
        </is>
      </c>
    </row>
    <row r="131">
      <c r="A131" s="8" t="inlineStr">
        <is>
          <t>playerRingCy</t>
        </is>
      </c>
      <c r="B131" s="8" t="n">
        <v>300</v>
      </c>
      <c r="C131" s="8" t="inlineStr">
        <is>
          <t>Player: circle centre Y, pushed far below the strip so only the flat top of the arc shows.</t>
        </is>
      </c>
    </row>
    <row r="132">
      <c r="A132" s="8" t="inlineStr">
        <is>
          <t>crusherSteps</t>
        </is>
      </c>
      <c r="B132" s="8" t="n">
        <v>12</v>
      </c>
      <c r="C132" s="8" t="inlineStr">
        <is>
          <t>Audio bit-crusher quantisation. Low = Atari harsh, high = SNES-clean.</t>
        </is>
      </c>
    </row>
    <row r="133">
      <c r="A133" s="8" t="inlineStr">
        <is>
          <t>travelRollSecs</t>
        </is>
      </c>
      <c r="B133" s="8" t="n">
        <v>3</v>
      </c>
      <c r="C133" s="8" t="inlineStr">
        <is>
          <t>Legacy fixed roll interval. rollMinSecs/rollMaxSecs supersede it.</t>
        </is>
      </c>
    </row>
    <row r="134">
      <c r="A134" s="8" t="inlineStr">
        <is>
          <t>travelTarget</t>
        </is>
      </c>
      <c r="B134" s="8" t="n">
        <v>10</v>
      </c>
      <c r="C134" s="8" t="inlineStr">
        <is>
          <t>Legacy fixed segment target. segBase x diltransience supersedes it.</t>
        </is>
      </c>
    </row>
    <row r="135">
      <c r="A135" s="8" t="inlineStr">
        <is>
          <t>travelTapR</t>
        </is>
      </c>
      <c r="B135" s="8" t="n">
        <v>15</v>
      </c>
      <c r="C135" s="8" t="inlineStr">
        <is>
          <t>FLOOR for how near a tap must land on a travel element, in art pixels. The real reach is the element's own size scaled up; this is the minimum.</t>
        </is>
      </c>
    </row>
    <row r="136">
      <c r="A136" s="8" t="inlineStr">
        <is>
          <t>segBase</t>
        </is>
      </c>
      <c r="B136" s="8" t="n">
        <v>5</v>
      </c>
      <c r="C136" s="8" t="inlineStr">
        <is>
          <t>Track Segments to bridge a link, before diltransience and world state.</t>
        </is>
      </c>
    </row>
    <row r="137">
      <c r="A137" s="8" t="inlineStr">
        <is>
          <t>rollMinSecs</t>
        </is>
      </c>
      <c r="B137" s="8" t="n">
        <v>1</v>
      </c>
      <c r="C137" s="8" t="inlineStr">
        <is>
          <t>Fastest the track event roll can come round (navigation GDD 4: every 1-3s).</t>
        </is>
      </c>
    </row>
    <row r="138">
      <c r="A138" s="8" t="inlineStr">
        <is>
          <t>rollMaxSecs</t>
        </is>
      </c>
      <c r="B138" s="8" t="n">
        <v>3</v>
      </c>
      <c r="C138" s="8" t="inlineStr">
        <is>
          <t>Slowest the track event roll can come round. Enemy density moves it.</t>
        </is>
      </c>
    </row>
    <row r="139">
      <c r="A139" s="8" t="inlineStr">
        <is>
          <t>aggroLockSecs</t>
        </is>
      </c>
      <c r="B139" s="8" t="n">
        <v>5</v>
      </c>
      <c r="C139" s="8" t="inlineStr">
        <is>
          <t>Default countdown before an aggro enemy forces the encounter.</t>
        </is>
      </c>
    </row>
    <row r="140">
      <c r="A140" s="8" t="inlineStr">
        <is>
          <t>travelMaxLive</t>
        </is>
      </c>
      <c r="B140" s="8" t="n">
        <v>5</v>
      </c>
      <c r="C140" s="8" t="inlineStr">
        <is>
          <t>How many elements may be out at once, ALL KINDS TOGETHER. No roll happens while the board is full, so it has to clear before anything new appears.</t>
        </is>
      </c>
    </row>
    <row r="141">
      <c r="A141" s="8" t="inlineStr">
        <is>
          <t>tripFillMs</t>
        </is>
      </c>
      <c r="B141" s="8" t="n">
        <v>520</v>
      </c>
      <c r="C141" s="8" t="inlineStr">
        <is>
          <t>How long the Emotional Trip bar takes to ease across to a newly collected segment.</t>
        </is>
      </c>
    </row>
    <row r="142">
      <c r="A142" s="8" t="inlineStr">
        <is>
          <t>tripFlashMs</t>
        </is>
      </c>
      <c r="B142" s="8" t="n">
        <v>260</v>
      </c>
      <c r="C142" s="8" t="inlineStr">
        <is>
          <t>How long the bar flashes white when a segment lands in it.</t>
        </is>
      </c>
    </row>
    <row r="143">
      <c r="A143" s="8" t="inlineStr">
        <is>
          <t>departSecs</t>
        </is>
      </c>
      <c r="B143" s="8" t="n">
        <v>3</v>
      </c>
      <c r="C143" s="8" t="inlineStr">
        <is>
          <t>How long the camera spends zooming into the departure station before the wipe opens.</t>
        </is>
      </c>
    </row>
    <row r="144">
      <c r="A144" s="8" t="inlineStr">
        <is>
          <t>leanEaseMs</t>
        </is>
      </c>
      <c r="B144" s="8" t="n">
        <v>520</v>
      </c>
      <c r="C144" s="8" t="inlineStr">
        <is>
          <t>How long the map takes to tilt into, and back out of, the focused-station lean.</t>
        </is>
      </c>
    </row>
    <row r="145">
      <c r="A145" s="8" t="inlineStr">
        <is>
          <t>leanDeg</t>
        </is>
      </c>
      <c r="B145" s="8" t="n">
        <v>20</v>
      </c>
      <c r="C145" s="8" t="inlineStr">
        <is>
          <t>How far the map tilts when a destination is being considered.</t>
        </is>
      </c>
    </row>
    <row r="146">
      <c r="A146" s="8" t="inlineStr">
        <is>
          <t>camEaseMs</t>
        </is>
      </c>
      <c r="B146" s="8" t="n">
        <v>620</v>
      </c>
      <c r="C146" s="8" t="inlineStr">
        <is>
          <t>How long the camera takes to travel to a station the player has just picked.</t>
        </is>
      </c>
    </row>
    <row r="147">
      <c r="A147" s="8" t="inlineStr">
        <is>
          <t>orbMsPct</t>
        </is>
      </c>
      <c r="B147" s="8" t="n">
        <v>0.18</v>
      </c>
      <c r="C147" s="8" t="inlineStr">
        <is>
          <t>How much of MaxMS one Stamina Orb gives back. Orbs only matter mid-ride, which is the only time MS moves.</t>
        </is>
      </c>
    </row>
    <row r="148">
      <c r="A148" s="8" t="inlineStr">
        <is>
          <t>encounterWashSecs</t>
        </is>
      </c>
      <c r="B148" s="8" t="n">
        <v>1.1</v>
      </c>
      <c r="C148" s="8" t="inlineStr">
        <is>
          <t>How long the travel screen floods with the enemy's colour before the wipe onto the fight.</t>
        </is>
      </c>
    </row>
    <row r="149">
      <c r="A149" s="8" t="inlineStr">
        <is>
          <t>battleWipeMs</t>
        </is>
      </c>
      <c r="B149" s="8" t="n">
        <v>820</v>
      </c>
      <c r="C149" s="8" t="inlineStr">
        <is>
          <t>The circular wipe that opens onto the battle.</t>
        </is>
      </c>
    </row>
    <row r="150">
      <c r="A150" s="8" t="inlineStr">
        <is>
          <t>battleFadeMs</t>
        </is>
      </c>
      <c r="B150" s="8" t="n">
        <v>620</v>
      </c>
      <c r="C150" s="8" t="inlineStr">
        <is>
          <t>The fade to white that unloads the battle and gives the ride back.</t>
        </is>
      </c>
    </row>
    <row r="151">
      <c r="A151" s="8" t="inlineStr">
        <is>
          <t>musicCutMs</t>
        </is>
      </c>
      <c r="B151" s="8" t="n">
        <v>120</v>
      </c>
      <c r="C151" s="8" t="inlineStr">
        <is>
          <t>The ultra-quick fade that kills the battle theme the moment an enemy falls.</t>
        </is>
      </c>
    </row>
    <row r="152">
      <c r="A152" s="8" t="inlineStr">
        <is>
          <t>enterWipeMs</t>
        </is>
      </c>
      <c r="B152" s="8" t="n">
        <v>1100</v>
      </c>
      <c r="C152" s="8" t="inlineStr">
        <is>
          <t>The circular wipe that opens the map when arriving from the title screen.</t>
        </is>
      </c>
    </row>
    <row r="153">
      <c r="A153" s="8" t="inlineStr">
        <is>
          <t>exitKeepPct</t>
        </is>
      </c>
      <c r="B153" s="8" t="n">
        <v>0.6</v>
      </c>
      <c r="C153" s="8" t="inlineStr">
        <is>
          <t>Crystals kept when EXITING at an intermediate platform.</t>
        </is>
      </c>
    </row>
    <row r="154">
      <c r="A154" s="8" t="inlineStr">
        <is>
          <t>defeatKeepPct</t>
        </is>
      </c>
      <c r="B154" s="8" t="n">
        <v>0.1</v>
      </c>
      <c r="C154" s="8" t="inlineStr">
        <is>
          <t>Crystals kept on defeat.</t>
        </is>
      </c>
    </row>
    <row r="155">
      <c r="A155" s="8" t="inlineStr">
        <is>
          <t>itemLossOnExit</t>
        </is>
      </c>
      <c r="B155" s="8" t="n">
        <v>0.4</v>
      </c>
      <c r="C155" s="8" t="inlineStr">
        <is>
          <t>Chance each unbanked item is lost when exiting early.</t>
        </is>
      </c>
    </row>
    <row r="156">
      <c r="A156" s="8" t="inlineStr">
        <is>
          <t>itemLossOnDefeat</t>
        </is>
      </c>
      <c r="B156" s="8" t="n">
        <v>0.9</v>
      </c>
      <c r="C156" s="8" t="inlineStr">
        <is>
          <t>Chance each unbanked item is lost on defeat.</t>
        </is>
      </c>
    </row>
    <row r="157">
      <c r="A157" s="8" t="inlineStr">
        <is>
          <t>fogPeekHide</t>
        </is>
      </c>
      <c r="B157" s="8" t="n">
        <v>1.6</v>
      </c>
      <c r="C157" s="8" t="inlineStr">
        <is>
          <t>Fog at or above this hides a station's details from the map.</t>
        </is>
      </c>
    </row>
    <row r="158">
      <c r="A158" s="8" t="inlineStr">
        <is>
          <t>startLineKeys</t>
        </is>
      </c>
      <c r="B158" s="8" t="inlineStr">
        <is>
          <t>L1|L2</t>
        </is>
      </c>
      <c r="C158" s="8" t="inlineStr">
        <is>
          <t>Line Keys the player begins with.</t>
        </is>
      </c>
    </row>
    <row r="159">
      <c r="A159" s="8" t="inlineStr">
        <is>
          <t>affinitySlots</t>
        </is>
      </c>
      <c r="B159" s="8" t="n">
        <v>2</v>
      </c>
      <c r="C159" s="8" t="inlineStr">
        <is>
          <t>How many Emotional Affinities a player picks at creation.</t>
        </is>
      </c>
    </row>
    <row r="160">
      <c r="A160" s="8" t="inlineStr">
        <is>
          <t>armorSlots</t>
        </is>
      </c>
      <c r="B160" s="8" t="n">
        <v>1</v>
      </c>
      <c r="C160" s="8" t="inlineStr">
        <is>
          <t>Emotional Armor pieces worn at once.</t>
        </is>
      </c>
    </row>
    <row r="161">
      <c r="A161" s="8" t="inlineStr">
        <is>
          <t>startArmor</t>
        </is>
      </c>
      <c r="B161" s="8" t="inlineStr">
        <is>
          <t>ARM_SCARS</t>
        </is>
      </c>
      <c r="C161" s="8" t="inlineStr">
        <is>
          <t>The armor a new profile begins in.</t>
        </is>
      </c>
    </row>
    <row r="162">
      <c r="A162" s="8" t="inlineStr">
        <is>
          <t>startSets</t>
        </is>
      </c>
      <c r="B162" s="8" t="inlineStr">
        <is>
          <t>LO_ANGER|LO_SADNESS|LO_JOY|LO_DISGUST|LO_SURPRISE</t>
        </is>
      </c>
      <c r="C162" s="8" t="inlineStr">
        <is>
          <t>The Move Sets a profile OWNS. `equippedSlots` of them can be carried at once, so this is the shelf to pick from rather than the loadout itself.</t>
        </is>
      </c>
    </row>
    <row r="163">
      <c r="A163" s="8" t="inlineStr">
        <is>
          <t>startArmorOwned</t>
        </is>
      </c>
      <c r="B163" s="8" t="inlineStr">
        <is>
          <t>ARM_SCARS|ARM_STATIC</t>
        </is>
      </c>
      <c r="C163" s="8" t="inlineStr">
        <is>
          <t>Armor a profile OWNS, beyond the one it is wearing. Same idea as startSets.</t>
        </is>
      </c>
    </row>
    <row r="164">
      <c r="A164" s="8" t="inlineStr">
        <is>
          <t>joltEc</t>
        </is>
      </c>
      <c r="B164" s="8" t="n">
        <v>20</v>
      </c>
      <c r="C164" s="8" t="inlineStr">
        <is>
          <t>Emotional Charge the Set of Jolt's passive returns each time one of your attacks misses.</t>
        </is>
      </c>
    </row>
    <row r="165">
      <c r="A165" s="8" t="inlineStr">
        <is>
          <t>critSlots</t>
        </is>
      </c>
      <c r="B165" s="8" t="n">
        <v>1</v>
      </c>
      <c r="C165" s="8" t="inlineStr">
        <is>
          <t>Extra line slots a critical earns, for anyone without a passive that says otherwise. The slot is good for exactly one line.</t>
        </is>
      </c>
    </row>
    <row r="166">
      <c r="A166" s="8" t="inlineStr">
        <is>
          <t>rushCritSlots</t>
        </is>
      </c>
      <c r="B166" s="8" t="n">
        <v>3</v>
      </c>
      <c r="C166" s="8" t="inlineStr">
        <is>
          <t>What PAS_RUSH (the Set of Rush) turns that into. Raising it raises the ceiling of the whole set, which is the one number worth balancing it on.</t>
        </is>
      </c>
    </row>
    <row r="167">
      <c r="A167" s="8" t="inlineStr">
        <is>
          <t>objectiveWobble</t>
        </is>
      </c>
      <c r="B167" s="8" t="n">
        <v>0.9</v>
      </c>
      <c r="C167" s="8" t="inlineStr">
        <is>
          <t>How far an objective's marker swings, in map pixels. It is a wobble, not an orbit: the ? never leaves the top of its station.</t>
        </is>
      </c>
    </row>
    <row r="168">
      <c r="A168" s="8" t="inlineStr">
        <is>
          <t>objectiveBeatMs</t>
        </is>
      </c>
      <c r="B168" s="8" t="n">
        <v>760</v>
      </c>
      <c r="C168" s="8" t="inlineStr">
        <is>
          <t>Period of the white circle's beat, in ms. One breath per station, so a screen of them does not pulse in lockstep - each is offset by a hash of its own id.</t>
        </is>
      </c>
    </row>
    <row r="169">
      <c r="A169" s="8" t="inlineStr">
        <is>
          <t>aggroChance</t>
        </is>
      </c>
      <c r="B169" s="8" t="n">
        <v>0.25</v>
      </c>
      <c r="C169" s="8" t="inlineStr">
        <is>
          <t>Fraction of the enemies that appear on a ride which LOCK ON and count down to forcing the fight. Multiplied by the target station's own aggro, so a hostile stretch of network really is more hostile. 0 turns the whole behaviour off.</t>
        </is>
      </c>
    </row>
    <row r="170">
      <c r="A170" s="8" t="inlineStr">
        <is>
          <t>aggroTiers</t>
        </is>
      </c>
      <c r="B170" s="8" t="inlineStr">
        <is>
          <t>WEAK|REGULAR</t>
        </is>
      </c>
      <c r="C170" s="8" t="inlineStr">
        <is>
          <t>Which tiers may lock on. A STRONG enemy is deliberately not on this list: a hard fight you did not choose is a punishment, and the one thing that makes a strong enemy fair is that taking it on is a decision.</t>
        </is>
      </c>
    </row>
    <row r="171">
      <c r="A171" s="8" t="inlineStr">
        <is>
          <t>aggroRingThick</t>
        </is>
      </c>
      <c r="B171" s="8" t="n">
        <v>2</v>
      </c>
      <c r="C171" s="8" t="inlineStr">
        <is>
          <t>Thickness, in art pixels, of the countdown ring drawn around a locked-on enemy.</t>
        </is>
      </c>
    </row>
    <row r="172">
      <c r="A172" s="8" t="inlineStr">
        <is>
          <t>aggroWarnHz</t>
        </is>
      </c>
      <c r="B172" s="8" t="n">
        <v>4.5</v>
      </c>
      <c r="C172" s="8" t="inlineStr">
        <is>
          <t>How many times a second the warning sign above a locked-on enemy flashes.</t>
        </is>
      </c>
    </row>
    <row r="173">
      <c r="A173" s="8" t="inlineStr">
        <is>
          <t>mapShakeMs</t>
        </is>
      </c>
      <c r="B173" s="8" t="n">
        <v>420</v>
      </c>
      <c r="C173" s="8" t="inlineStr">
        <is>
          <t>How long the ride screen shakes when a fight starts.</t>
        </is>
      </c>
    </row>
    <row r="174">
      <c r="A174" s="8" t="inlineStr">
        <is>
          <t>mapShakeAmp</t>
        </is>
      </c>
      <c r="B174" s="8" t="n">
        <v>7</v>
      </c>
      <c r="C174" s="8" t="inlineStr">
        <is>
          <t>How far the ride screen is thrown, in CSS pixels, at the start of that shake. It decays to nothing over mapShakeMs.</t>
        </is>
      </c>
    </row>
    <row r="175">
      <c r="A175" s="8" t="inlineStr">
        <is>
          <t>guardianWarnMs</t>
        </is>
      </c>
      <c r="B175" s="8" t="n">
        <v>3000</v>
      </c>
      <c r="C175" s="8" t="inlineStr">
        <is>
          <t>How long the banner announcing the station's Guardian Entity holds before the fight begins on its own.</t>
        </is>
      </c>
    </row>
    <row r="176">
      <c r="A176" s="8" t="inlineStr">
        <is>
          <t>fleeHoldMs</t>
        </is>
      </c>
      <c r="B176" s="8" t="n">
        <v>3000</v>
      </c>
      <c r="C176" s="8" t="inlineStr">
        <is>
          <t>How long a press has to be held on the battle arena before the ring closes and the fight is abandoned.</t>
        </is>
      </c>
    </row>
    <row r="177">
      <c r="A177" s="8" t="inlineStr">
        <is>
          <t>fleeSegmentCost</t>
        </is>
      </c>
      <c r="B177" s="8" t="n">
        <v>5</v>
      </c>
      <c r="C177" s="8" t="inlineStr">
        <is>
          <t>Track Segments forfeited every time a fight is run from. Taken off the current ride's progress, never below zero.</t>
        </is>
      </c>
    </row>
    <row r="178">
      <c r="A178" s="8" t="inlineStr">
        <is>
          <t>bossPhaseAt</t>
        </is>
      </c>
      <c r="B178" s="8" t="n">
        <v>0.2</v>
      </c>
      <c r="C178" s="8" t="inlineStr">
        <is>
          <t>Fraction of MaxMS at which a LINE MANAGER refuses to fall and takes her second wind. She cannot be killed below this until it has happened.</t>
        </is>
      </c>
    </row>
    <row r="179">
      <c r="A179" s="8" t="inlineStr">
        <is>
          <t>bossPhaseTo</t>
        </is>
      </c>
      <c r="B179" s="8" t="n">
        <v>0.5</v>
      </c>
      <c r="C179" s="8" t="inlineStr">
        <is>
          <t>What she recovers to.</t>
        </is>
      </c>
    </row>
    <row r="180">
      <c r="A180" s="8" t="inlineStr">
        <is>
          <t>bossRechargeMs</t>
        </is>
      </c>
      <c r="B180" s="8" t="n">
        <v>5000</v>
      </c>
      <c r="C180" s="8" t="inlineStr">
        <is>
          <t>How long that recovery takes. Deliberately long: it is the fight being taken away from you and handed back.</t>
        </is>
      </c>
    </row>
    <row r="181">
      <c r="A181" s="8" t="inlineStr">
        <is>
          <t>bossFlashes</t>
        </is>
      </c>
      <c r="B181" s="8" t="n">
        <v>4</v>
      </c>
      <c r="C181" s="8" t="inlineStr">
        <is>
          <t>White flashes before the recovery, and again when it completes.</t>
        </is>
      </c>
    </row>
    <row r="182">
      <c r="A182" s="8" t="inlineStr">
        <is>
          <t>bossSinkMs</t>
        </is>
      </c>
      <c r="B182" s="8" t="n">
        <v>7000</v>
      </c>
      <c r="C182" s="8" t="inlineStr">
        <is>
          <t>How long a beaten LINE MANAGER takes to shake, sink and fade off the bottom of the screen.</t>
        </is>
      </c>
    </row>
    <row r="183">
      <c r="A183" s="8" t="inlineStr">
        <is>
          <t>bossHushMs</t>
        </is>
      </c>
      <c r="B183" s="8" t="n">
        <v>520</v>
      </c>
      <c r="C183" s="8" t="inlineStr">
        <is>
          <t>How quickly the music and the interface go when she refuses to fall.</t>
        </is>
      </c>
    </row>
  </sheetData>
  <mergeCells count="1">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42" customWidth="1" min="8" max="8"/>
  </cols>
  <sheetData>
    <row r="1">
      <c r="A1" s="4" t="inlineStr">
        <is>
          <t>Every sound is synthesised at runtime — there are no audio files. wave: square | sawtooth | triangle | sine | noise. f0/f1 sweep in Hz over 'dur' ms. 'echo' is how much of the sound feeds the shared delay line. Everything runs through a bit-crusher, which is where the crunch comes from.</t>
        </is>
      </c>
    </row>
    <row r="3">
      <c r="A3" s="5" t="inlineStr">
        <is>
          <t>id</t>
        </is>
      </c>
      <c r="B3" s="5" t="inlineStr">
        <is>
          <t>wave</t>
        </is>
      </c>
      <c r="C3" s="5" t="inlineStr">
        <is>
          <t>f0</t>
        </is>
      </c>
      <c r="D3" s="5" t="inlineStr">
        <is>
          <t>f1</t>
        </is>
      </c>
      <c r="E3" s="5" t="inlineStr">
        <is>
          <t>dur</t>
        </is>
      </c>
      <c r="F3" s="5" t="inlineStr">
        <is>
          <t>gain</t>
        </is>
      </c>
      <c r="G3" s="5" t="inlineStr">
        <is>
          <t>echo</t>
        </is>
      </c>
      <c r="H3" s="5" t="inlineStr">
        <is>
          <t>description</t>
        </is>
      </c>
    </row>
    <row r="4">
      <c r="A4" s="6" t="inlineStr">
        <is>
          <t>LIVE</t>
        </is>
      </c>
      <c r="B4" s="6" t="inlineStr">
        <is>
          <t>LIVE</t>
        </is>
      </c>
      <c r="C4" s="6" t="inlineStr">
        <is>
          <t>LIVE</t>
        </is>
      </c>
      <c r="D4" s="6" t="inlineStr">
        <is>
          <t>LIVE</t>
        </is>
      </c>
      <c r="E4" s="6" t="inlineStr">
        <is>
          <t>LIVE</t>
        </is>
      </c>
      <c r="F4" s="6" t="inlineStr">
        <is>
          <t>LIVE</t>
        </is>
      </c>
      <c r="G4" s="6" t="inlineStr">
        <is>
          <t>LIVE</t>
        </is>
      </c>
      <c r="H4" s="7" t="inlineStr">
        <is>
          <t>planned</t>
        </is>
      </c>
    </row>
    <row r="5">
      <c r="A5" s="8" t="inlineStr">
        <is>
          <t>tap</t>
        </is>
      </c>
      <c r="B5" s="8" t="inlineStr">
        <is>
          <t>square</t>
        </is>
      </c>
      <c r="C5" s="8" t="n">
        <v>980</v>
      </c>
      <c r="D5" s="8" t="n">
        <v>1460</v>
      </c>
      <c r="E5" s="8" t="n">
        <v>80</v>
      </c>
      <c r="F5" s="8" t="n">
        <v>0.46</v>
      </c>
      <c r="G5" s="8" t="n">
        <v>0.3</v>
      </c>
      <c r="H5" s="8" t="inlineStr">
        <is>
          <t>Adding an ability to the line.</t>
        </is>
      </c>
    </row>
    <row r="6">
      <c r="A6" s="8" t="inlineStr">
        <is>
          <t>place</t>
        </is>
      </c>
      <c r="B6" s="8" t="inlineStr">
        <is>
          <t>square</t>
        </is>
      </c>
      <c r="C6" s="8" t="n">
        <v>620</v>
      </c>
      <c r="D6" s="8" t="n">
        <v>1760</v>
      </c>
      <c r="E6" s="8" t="n">
        <v>130</v>
      </c>
      <c r="F6" s="8" t="n">
        <v>0.4</v>
      </c>
      <c r="G6" s="8" t="n">
        <v>0.35</v>
      </c>
      <c r="H6" s="8" t="inlineStr">
        <is>
          <t>The station lands on your line and flashes white.</t>
        </is>
      </c>
    </row>
    <row r="7">
      <c r="A7" s="8" t="inlineStr">
        <is>
          <t>resist</t>
        </is>
      </c>
      <c r="B7" s="8" t="inlineStr">
        <is>
          <t>square</t>
        </is>
      </c>
      <c r="C7" s="8" t="n">
        <v>880</v>
      </c>
      <c r="D7" s="8" t="n">
        <v>760</v>
      </c>
      <c r="E7" s="8" t="n">
        <v>120</v>
      </c>
      <c r="F7" s="8" t="n">
        <v>0.34</v>
      </c>
      <c r="G7" s="8" t="n">
        <v>0.3</v>
      </c>
      <c r="H7" s="8" t="inlineStr">
        <is>
          <t>A layer shrugs off its own emotion. Played twice, descending.</t>
        </is>
      </c>
    </row>
    <row r="8">
      <c r="A8" s="8" t="inlineStr">
        <is>
          <t>hit_anger</t>
        </is>
      </c>
      <c r="B8" s="8" t="inlineStr">
        <is>
          <t>square</t>
        </is>
      </c>
      <c r="C8" s="8" t="n">
        <v>300</v>
      </c>
      <c r="D8" s="8" t="n">
        <v>90</v>
      </c>
      <c r="E8" s="8" t="n">
        <v>150</v>
      </c>
      <c r="F8" s="8" t="n">
        <v>0.36</v>
      </c>
      <c r="G8" s="8" t="n">
        <v>0.28</v>
      </c>
      <c r="H8" s="8" t="inlineStr">
        <is>
          <t>Anger lands: hard and low.</t>
        </is>
      </c>
    </row>
    <row r="9">
      <c r="A9" s="8" t="inlineStr">
        <is>
          <t>hit_surprise</t>
        </is>
      </c>
      <c r="B9" s="8" t="inlineStr">
        <is>
          <t>sawtooth</t>
        </is>
      </c>
      <c r="C9" s="8" t="n">
        <v>1200</v>
      </c>
      <c r="D9" s="8" t="n">
        <v>300</v>
      </c>
      <c r="E9" s="8" t="n">
        <v>130</v>
      </c>
      <c r="F9" s="8" t="n">
        <v>0.3</v>
      </c>
      <c r="G9" s="8" t="n">
        <v>0.34</v>
      </c>
      <c r="H9" s="8" t="inlineStr">
        <is>
          <t>Surprise lands: a sharp drop.</t>
        </is>
      </c>
    </row>
    <row r="10">
      <c r="A10" s="8" t="inlineStr">
        <is>
          <t>hit_disgust</t>
        </is>
      </c>
      <c r="B10" s="8" t="inlineStr">
        <is>
          <t>noise</t>
        </is>
      </c>
      <c r="C10" s="8" t="n">
        <v>420</v>
      </c>
      <c r="D10" s="8" t="n">
        <v>200</v>
      </c>
      <c r="E10" s="8" t="n">
        <v>180</v>
      </c>
      <c r="F10" s="8" t="n">
        <v>0.3</v>
      </c>
      <c r="G10" s="8" t="n">
        <v>0.3</v>
      </c>
      <c r="H10" s="8" t="inlineStr">
        <is>
          <t>Disgust lands: wet and dull.</t>
        </is>
      </c>
    </row>
    <row r="11">
      <c r="A11" s="8" t="inlineStr">
        <is>
          <t>hit_joy</t>
        </is>
      </c>
      <c r="B11" s="8" t="inlineStr">
        <is>
          <t>square</t>
        </is>
      </c>
      <c r="C11" s="8" t="n">
        <v>900</v>
      </c>
      <c r="D11" s="8" t="n">
        <v>1800</v>
      </c>
      <c r="E11" s="8" t="n">
        <v>120</v>
      </c>
      <c r="F11" s="8" t="n">
        <v>0.3</v>
      </c>
      <c r="G11" s="8" t="n">
        <v>0.32</v>
      </c>
      <c r="H11" s="8" t="inlineStr">
        <is>
          <t>Joy lands: bright and rising.</t>
        </is>
      </c>
    </row>
    <row r="12">
      <c r="A12" s="8" t="inlineStr">
        <is>
          <t>hit_sadness</t>
        </is>
      </c>
      <c r="B12" s="8" t="inlineStr">
        <is>
          <t>triangle</t>
        </is>
      </c>
      <c r="C12" s="8" t="n">
        <v>520</v>
      </c>
      <c r="D12" s="8" t="n">
        <v>180</v>
      </c>
      <c r="E12" s="8" t="n">
        <v>220</v>
      </c>
      <c r="F12" s="8" t="n">
        <v>0.3</v>
      </c>
      <c r="G12" s="8" t="n">
        <v>0.38</v>
      </c>
      <c r="H12" s="8" t="inlineStr">
        <is>
          <t>Sadness lands: a long fall.</t>
        </is>
      </c>
    </row>
    <row r="13">
      <c r="A13" s="8" t="inlineStr">
        <is>
          <t>hit_fear</t>
        </is>
      </c>
      <c r="B13" s="8" t="inlineStr">
        <is>
          <t>noise</t>
        </is>
      </c>
      <c r="C13" s="8" t="n">
        <v>900</v>
      </c>
      <c r="D13" s="8" t="n">
        <v>1400</v>
      </c>
      <c r="E13" s="8" t="n">
        <v>120</v>
      </c>
      <c r="F13" s="8" t="n">
        <v>0.26</v>
      </c>
      <c r="G13" s="8" t="n">
        <v>0.4</v>
      </c>
      <c r="H13" s="8" t="inlineStr">
        <is>
          <t>Fear lands: a cold hiss.</t>
        </is>
      </c>
    </row>
    <row r="14">
      <c r="A14" s="8" t="inlineStr">
        <is>
          <t>buff_up</t>
        </is>
      </c>
      <c r="B14" s="8" t="inlineStr">
        <is>
          <t>square</t>
        </is>
      </c>
      <c r="C14" s="8" t="n">
        <v>420</v>
      </c>
      <c r="D14" s="8" t="n">
        <v>1500</v>
      </c>
      <c r="E14" s="8" t="n">
        <v>260</v>
      </c>
      <c r="F14" s="8" t="n">
        <v>0.28</v>
      </c>
      <c r="G14" s="8" t="n">
        <v>0.35</v>
      </c>
      <c r="H14" s="8" t="inlineStr">
        <is>
          <t>Something is lifted.</t>
        </is>
      </c>
    </row>
    <row r="15">
      <c r="A15" s="8" t="inlineStr">
        <is>
          <t>debuff_down</t>
        </is>
      </c>
      <c r="B15" s="8" t="inlineStr">
        <is>
          <t>sawtooth</t>
        </is>
      </c>
      <c r="C15" s="8" t="n">
        <v>1500</v>
      </c>
      <c r="D15" s="8" t="n">
        <v>260</v>
      </c>
      <c r="E15" s="8" t="n">
        <v>300</v>
      </c>
      <c r="F15" s="8" t="n">
        <v>0.3</v>
      </c>
      <c r="G15" s="8" t="n">
        <v>0.38</v>
      </c>
      <c r="H15" s="8" t="inlineStr">
        <is>
          <t>Something is dragged down.</t>
        </is>
      </c>
    </row>
    <row r="16">
      <c r="A16" s="8" t="inlineStr">
        <is>
          <t>status_on</t>
        </is>
      </c>
      <c r="B16" s="8" t="inlineStr">
        <is>
          <t>noise</t>
        </is>
      </c>
      <c r="C16" s="8" t="n">
        <v>200</v>
      </c>
      <c r="D16" s="8" t="n">
        <v>1100</v>
      </c>
      <c r="E16" s="8" t="n">
        <v>520</v>
      </c>
      <c r="F16" s="8" t="n">
        <v>0.32</v>
      </c>
      <c r="G16" s="8" t="n">
        <v>0.5</v>
      </c>
      <c r="H16" s="8" t="inlineStr">
        <is>
          <t>A status takes hold.</t>
        </is>
      </c>
    </row>
    <row r="17">
      <c r="A17" s="8" t="inlineStr">
        <is>
          <t>sheatheE</t>
        </is>
      </c>
      <c r="B17" s="8" t="inlineStr">
        <is>
          <t>sawtooth</t>
        </is>
      </c>
      <c r="C17" s="8" t="n">
        <v>1500</v>
      </c>
      <c r="D17" s="8" t="n">
        <v>220</v>
      </c>
      <c r="E17" s="8" t="n">
        <v>150</v>
      </c>
      <c r="F17" s="8" t="n">
        <v>0.3</v>
      </c>
      <c r="G17" s="8" t="n">
        <v>0.22</v>
      </c>
      <c r="H17" s="8" t="inlineStr">
        <is>
          <t>Enemy UI element drawn into place. Lower.</t>
        </is>
      </c>
    </row>
    <row r="18">
      <c r="A18" s="8" t="inlineStr">
        <is>
          <t>sheatheP</t>
        </is>
      </c>
      <c r="B18" s="8" t="inlineStr">
        <is>
          <t>sawtooth</t>
        </is>
      </c>
      <c r="C18" s="8" t="n">
        <v>2100</v>
      </c>
      <c r="D18" s="8" t="n">
        <v>340</v>
      </c>
      <c r="E18" s="8" t="n">
        <v>140</v>
      </c>
      <c r="F18" s="8" t="n">
        <v>0.28</v>
      </c>
      <c r="G18" s="8" t="n">
        <v>0.22</v>
      </c>
      <c r="H18" s="8" t="inlineStr">
        <is>
          <t>Player UI element drawn into place. Higher.</t>
        </is>
      </c>
    </row>
    <row r="19">
      <c r="A19" s="8" t="inlineStr">
        <is>
          <t>slot</t>
        </is>
      </c>
      <c r="B19" s="8" t="inlineStr">
        <is>
          <t>triangle</t>
        </is>
      </c>
      <c r="C19" s="8" t="n">
        <v>300</v>
      </c>
      <c r="D19" s="8" t="n">
        <v>1500</v>
      </c>
      <c r="E19" s="8" t="n">
        <v>150</v>
      </c>
      <c r="F19" s="8" t="n">
        <v>0.3</v>
      </c>
      <c r="G19" s="8" t="n">
        <v>0.45</v>
      </c>
      <c r="H19" s="8" t="inlineStr">
        <is>
          <t>A temporary slot flies in from the opponent.</t>
        </is>
      </c>
    </row>
    <row r="20">
      <c r="A20" s="8" t="inlineStr">
        <is>
          <t>remove</t>
        </is>
      </c>
      <c r="B20" s="8" t="inlineStr">
        <is>
          <t>square</t>
        </is>
      </c>
      <c r="C20" s="8" t="n">
        <v>520</v>
      </c>
      <c r="D20" s="8" t="n">
        <v>220</v>
      </c>
      <c r="E20" s="8" t="n">
        <v>90</v>
      </c>
      <c r="F20" s="8" t="n">
        <v>0.34</v>
      </c>
      <c r="G20" s="8" t="n">
        <v>0.24</v>
      </c>
      <c r="H20" s="8" t="inlineStr">
        <is>
          <t>Removing a station.</t>
        </is>
      </c>
    </row>
    <row r="21">
      <c r="A21" s="8" t="inlineStr">
        <is>
          <t>depart</t>
        </is>
      </c>
      <c r="B21" s="8" t="inlineStr">
        <is>
          <t>sawtooth</t>
        </is>
      </c>
      <c r="C21" s="8" t="n">
        <v>240</v>
      </c>
      <c r="D21" s="8" t="n">
        <v>70</v>
      </c>
      <c r="E21" s="8" t="n">
        <v>420</v>
      </c>
      <c r="F21" s="8" t="n">
        <v>0.26</v>
      </c>
      <c r="G21" s="8" t="n">
        <v>0.45</v>
      </c>
      <c r="H21" s="8" t="inlineStr">
        <is>
          <t>The line departs and charge is spent.</t>
        </is>
      </c>
    </row>
    <row r="22">
      <c r="A22" s="8" t="inlineStr">
        <is>
          <t>travel</t>
        </is>
      </c>
      <c r="B22" s="8" t="inlineStr">
        <is>
          <t>square</t>
        </is>
      </c>
      <c r="C22" s="8" t="n">
        <v>150</v>
      </c>
      <c r="D22" s="8" t="n">
        <v>150</v>
      </c>
      <c r="E22" s="8" t="n">
        <v>38</v>
      </c>
      <c r="F22" s="8" t="n">
        <v>0.1</v>
      </c>
      <c r="G22" s="8" t="n">
        <v>0.15</v>
      </c>
      <c r="H22" s="8" t="inlineStr">
        <is>
          <t>Line scrolling to the next station.</t>
        </is>
      </c>
    </row>
    <row r="23">
      <c r="A23" s="8" t="inlineStr">
        <is>
          <t>arrive</t>
        </is>
      </c>
      <c r="B23" s="8" t="inlineStr">
        <is>
          <t>square</t>
        </is>
      </c>
      <c r="C23" s="8" t="n">
        <v>880</v>
      </c>
      <c r="D23" s="8" t="n">
        <v>880</v>
      </c>
      <c r="E23" s="8" t="n">
        <v>45</v>
      </c>
      <c r="F23" s="8" t="n">
        <v>0.14</v>
      </c>
      <c r="G23" s="8" t="n">
        <v>0.3</v>
      </c>
      <c r="H23" s="8" t="inlineStr">
        <is>
          <t>Station reaches the head and lights up.</t>
        </is>
      </c>
    </row>
    <row r="24">
      <c r="A24" s="8" t="inlineStr">
        <is>
          <t>hit</t>
        </is>
      </c>
      <c r="B24" s="8" t="inlineStr">
        <is>
          <t>noise</t>
        </is>
      </c>
      <c r="C24" s="8" t="n">
        <v>700</v>
      </c>
      <c r="D24" s="8" t="n">
        <v>700</v>
      </c>
      <c r="E24" s="8" t="n">
        <v>190</v>
      </c>
      <c r="F24" s="8" t="n">
        <v>0.34</v>
      </c>
      <c r="G24" s="8" t="n">
        <v>0.4</v>
      </c>
      <c r="H24" s="8" t="inlineStr">
        <is>
          <t>Off-type hit.</t>
        </is>
      </c>
    </row>
    <row r="25">
      <c r="A25" s="8" t="inlineStr">
        <is>
          <t>absorb</t>
        </is>
      </c>
      <c r="B25" s="8" t="inlineStr">
        <is>
          <t>square</t>
        </is>
      </c>
      <c r="C25" s="8" t="n">
        <v>300</v>
      </c>
      <c r="D25" s="8" t="n">
        <v>1200</v>
      </c>
      <c r="E25" s="8" t="n">
        <v>260</v>
      </c>
      <c r="F25" s="8" t="n">
        <v>0.24</v>
      </c>
      <c r="G25" s="8" t="n">
        <v>0.5</v>
      </c>
      <c r="H25" s="8" t="inlineStr">
        <is>
          <t>Same-type hit: the layer absorbs it.</t>
        </is>
      </c>
    </row>
    <row r="26">
      <c r="A26" s="8" t="inlineStr">
        <is>
          <t>block</t>
        </is>
      </c>
      <c r="B26" s="8" t="inlineStr">
        <is>
          <t>noise</t>
        </is>
      </c>
      <c r="C26" s="8" t="n">
        <v>1600</v>
      </c>
      <c r="D26" s="8" t="n">
        <v>1600</v>
      </c>
      <c r="E26" s="8" t="n">
        <v>90</v>
      </c>
      <c r="F26" s="8" t="n">
        <v>0.3</v>
      </c>
      <c r="G26" s="8" t="n">
        <v>0.35</v>
      </c>
      <c r="H26" s="8" t="inlineStr">
        <is>
          <t>Shield blocks, or shield goes up.</t>
        </is>
      </c>
    </row>
    <row r="27">
      <c r="A27" s="8" t="inlineStr">
        <is>
          <t>breaklayer</t>
        </is>
      </c>
      <c r="B27" s="8" t="inlineStr">
        <is>
          <t>sawtooth</t>
        </is>
      </c>
      <c r="C27" s="8" t="n">
        <v>760</v>
      </c>
      <c r="D27" s="8" t="n">
        <v>80</v>
      </c>
      <c r="E27" s="8" t="n">
        <v>340</v>
      </c>
      <c r="F27" s="8" t="n">
        <v>0.28</v>
      </c>
      <c r="G27" s="8" t="n">
        <v>0.55</v>
      </c>
      <c r="H27" s="8" t="inlineStr">
        <is>
          <t>A layer flashes and breaks.</t>
        </is>
      </c>
    </row>
    <row r="28">
      <c r="A28" s="8" t="inlineStr">
        <is>
          <t>regrow</t>
        </is>
      </c>
      <c r="B28" s="8" t="inlineStr">
        <is>
          <t>triangle</t>
        </is>
      </c>
      <c r="C28" s="8" t="n">
        <v>120</v>
      </c>
      <c r="D28" s="8" t="n">
        <v>520</v>
      </c>
      <c r="E28" s="8" t="n">
        <v>300</v>
      </c>
      <c r="F28" s="8" t="n">
        <v>0.16</v>
      </c>
      <c r="G28" s="8" t="n">
        <v>0.4</v>
      </c>
      <c r="H28" s="8" t="inlineStr">
        <is>
          <t>The broken layer regrows at the back.</t>
        </is>
      </c>
    </row>
    <row r="29">
      <c r="A29" s="8" t="inlineStr">
        <is>
          <t>clash</t>
        </is>
      </c>
      <c r="B29" s="8" t="inlineStr">
        <is>
          <t>noise</t>
        </is>
      </c>
      <c r="C29" s="8" t="n">
        <v>240</v>
      </c>
      <c r="D29" s="8" t="n">
        <v>240</v>
      </c>
      <c r="E29" s="8" t="n">
        <v>1500</v>
      </c>
      <c r="F29" s="8" t="n">
        <v>0.4</v>
      </c>
      <c r="G29" s="8" t="n">
        <v>0.65</v>
      </c>
      <c r="H29" s="8" t="inlineStr">
        <is>
          <t>Death: the chevrons meet.</t>
        </is>
      </c>
    </row>
    <row r="30">
      <c r="A30" s="8" t="inlineStr">
        <is>
          <t>speak</t>
        </is>
      </c>
      <c r="B30" s="8" t="inlineStr">
        <is>
          <t>square</t>
        </is>
      </c>
      <c r="C30" s="8" t="n">
        <v>620</v>
      </c>
      <c r="D30" s="8" t="n">
        <v>540</v>
      </c>
      <c r="E30" s="8" t="n">
        <v>42</v>
      </c>
      <c r="F30" s="8" t="n">
        <v>0.09</v>
      </c>
      <c r="G30" s="8" t="n">
        <v>0.12</v>
      </c>
      <c r="H30" s="8" t="inlineStr">
        <is>
          <t>One letter of dialogue appearing.</t>
        </is>
      </c>
    </row>
    <row r="31">
      <c r="A31" s="8" t="inlineStr">
        <is>
          <t>win</t>
        </is>
      </c>
      <c r="B31" s="8" t="inlineStr">
        <is>
          <t>square</t>
        </is>
      </c>
      <c r="C31" s="8" t="n">
        <v>440</v>
      </c>
      <c r="D31" s="8" t="n">
        <v>1320</v>
      </c>
      <c r="E31" s="8" t="n">
        <v>620</v>
      </c>
      <c r="F31" s="8" t="n">
        <v>0.24</v>
      </c>
      <c r="G31" s="8" t="n">
        <v>0.55</v>
      </c>
      <c r="H31" s="8" t="inlineStr">
        <is>
          <t>Victory.</t>
        </is>
      </c>
    </row>
    <row r="32">
      <c r="A32" s="8" t="inlineStr">
        <is>
          <t>lose</t>
        </is>
      </c>
      <c r="B32" s="8" t="inlineStr">
        <is>
          <t>sawtooth</t>
        </is>
      </c>
      <c r="C32" s="8" t="n">
        <v>320</v>
      </c>
      <c r="D32" s="8" t="n">
        <v>50</v>
      </c>
      <c r="E32" s="8" t="n">
        <v>950</v>
      </c>
      <c r="F32" s="8" t="n">
        <v>0.28</v>
      </c>
      <c r="G32" s="8" t="n">
        <v>0.6</v>
      </c>
      <c r="H32" s="8" t="inlineStr">
        <is>
          <t>Defeat.</t>
        </is>
      </c>
    </row>
    <row r="33">
      <c r="A33" s="8" t="inlineStr">
        <is>
          <t>map_select</t>
        </is>
      </c>
      <c r="B33" s="8" t="inlineStr">
        <is>
          <t>square</t>
        </is>
      </c>
      <c r="C33" s="8" t="n">
        <v>760</v>
      </c>
      <c r="D33" s="8" t="n">
        <v>1180</v>
      </c>
      <c r="E33" s="8" t="n">
        <v>70</v>
      </c>
      <c r="F33" s="8" t="n">
        <v>0.3</v>
      </c>
      <c r="G33" s="8" t="n">
        <v>0.25</v>
      </c>
      <c r="H33" s="8" t="inlineStr">
        <is>
          <t>MAP: an adjacent station is chosen.</t>
        </is>
      </c>
    </row>
    <row r="34">
      <c r="A34" s="8" t="inlineStr">
        <is>
          <t>map_depart</t>
        </is>
      </c>
      <c r="B34" s="8" t="inlineStr">
        <is>
          <t>sawtooth</t>
        </is>
      </c>
      <c r="C34" s="8" t="n">
        <v>180</v>
      </c>
      <c r="D34" s="8" t="n">
        <v>900</v>
      </c>
      <c r="E34" s="8" t="n">
        <v>620</v>
      </c>
      <c r="F34" s="8" t="n">
        <v>0.3</v>
      </c>
      <c r="G34" s="8" t="n">
        <v>0.5</v>
      </c>
      <c r="H34" s="8" t="inlineStr">
        <is>
          <t>MAP: the wipe opens and the train pulls away.</t>
        </is>
      </c>
    </row>
    <row r="35">
      <c r="A35" s="8" t="inlineStr">
        <is>
          <t>map_clack</t>
        </is>
      </c>
      <c r="B35" s="8" t="inlineStr">
        <is>
          <t>square</t>
        </is>
      </c>
      <c r="C35" s="8" t="n">
        <v>210</v>
      </c>
      <c r="D35" s="8" t="n">
        <v>150</v>
      </c>
      <c r="E35" s="8" t="n">
        <v>34</v>
      </c>
      <c r="F35" s="8" t="n">
        <v>0.13</v>
      </c>
      <c r="G35" s="8" t="n">
        <v>0.18</v>
      </c>
      <c r="H35" s="8" t="inlineStr">
        <is>
          <t>MAP: one rail joint passing under the train.</t>
        </is>
      </c>
    </row>
    <row r="36">
      <c r="A36" s="8" t="inlineStr">
        <is>
          <t>map_announce</t>
        </is>
      </c>
      <c r="B36" s="8" t="inlineStr">
        <is>
          <t>triangle</t>
        </is>
      </c>
      <c r="C36" s="8" t="n">
        <v>520</v>
      </c>
      <c r="D36" s="8" t="n">
        <v>1040</v>
      </c>
      <c r="E36" s="8" t="n">
        <v>300</v>
      </c>
      <c r="F36" s="8" t="n">
        <v>0.26</v>
      </c>
      <c r="G36" s="8" t="n">
        <v>0.4</v>
      </c>
      <c r="H36" s="8" t="inlineStr">
        <is>
          <t>MAP: 'Propera parada' over the carriage speaker.</t>
        </is>
      </c>
    </row>
    <row r="37">
      <c r="A37" s="8" t="inlineStr">
        <is>
          <t>map_flash</t>
        </is>
      </c>
      <c r="B37" s="8" t="inlineStr">
        <is>
          <t>noise</t>
        </is>
      </c>
      <c r="C37" s="8" t="n">
        <v>300</v>
      </c>
      <c r="D37" s="8" t="n">
        <v>2600</v>
      </c>
      <c r="E37" s="8" t="n">
        <v>700</v>
      </c>
      <c r="F37" s="8" t="n">
        <v>0.34</v>
      </c>
      <c r="G37" s="8" t="n">
        <v>0.55</v>
      </c>
      <c r="H37" s="8" t="inlineStr">
        <is>
          <t>MAP: the white flood, the train leaving the frame.</t>
        </is>
      </c>
    </row>
    <row r="38">
      <c r="A38" s="8" t="inlineStr">
        <is>
          <t>map_arrive</t>
        </is>
      </c>
      <c r="B38" s="8" t="inlineStr">
        <is>
          <t>square</t>
        </is>
      </c>
      <c r="C38" s="8" t="n">
        <v>660</v>
      </c>
      <c r="D38" s="8" t="n">
        <v>1980</v>
      </c>
      <c r="E38" s="8" t="n">
        <v>540</v>
      </c>
      <c r="F38" s="8" t="n">
        <v>0.26</v>
      </c>
      <c r="G38" s="8" t="n">
        <v>0.45</v>
      </c>
      <c r="H38" s="8" t="inlineStr">
        <is>
          <t>MAP: the station banner lands.</t>
        </is>
      </c>
    </row>
    <row r="39">
      <c r="A39" s="8" t="inlineStr">
        <is>
          <t>map_return</t>
        </is>
      </c>
      <c r="B39" s="8" t="inlineStr">
        <is>
          <t>sawtooth</t>
        </is>
      </c>
      <c r="C39" s="8" t="n">
        <v>1300</v>
      </c>
      <c r="D39" s="8" t="n">
        <v>260</v>
      </c>
      <c r="E39" s="8" t="n">
        <v>560</v>
      </c>
      <c r="F39" s="8" t="n">
        <v>0.24</v>
      </c>
      <c r="G39" s="8" t="n">
        <v>0.42</v>
      </c>
      <c r="H39" s="8" t="inlineStr">
        <is>
          <t>MAP: the wipe closes back onto the map.</t>
        </is>
      </c>
    </row>
    <row r="40">
      <c r="A40" s="8" t="inlineStr">
        <is>
          <t>map_step</t>
        </is>
      </c>
      <c r="B40" s="8" t="inlineStr">
        <is>
          <t>triangle</t>
        </is>
      </c>
      <c r="C40" s="8" t="n">
        <v>900</v>
      </c>
      <c r="D40" s="8" t="n">
        <v>1350</v>
      </c>
      <c r="E40" s="8" t="n">
        <v>90</v>
      </c>
      <c r="F40" s="8" t="n">
        <v>0.2</v>
      </c>
      <c r="G40" s="8" t="n">
        <v>0.22</v>
      </c>
      <c r="H40" s="8" t="inlineStr">
        <is>
          <t>MAP: the player marker moving one station.</t>
        </is>
      </c>
    </row>
    <row r="41">
      <c r="A41" s="8" t="inlineStr">
        <is>
          <t>map_pick</t>
        </is>
      </c>
      <c r="B41" s="8" t="inlineStr">
        <is>
          <t>square</t>
        </is>
      </c>
      <c r="C41" s="8" t="n">
        <v>1180</v>
      </c>
      <c r="D41" s="8" t="n">
        <v>1760</v>
      </c>
      <c r="E41" s="8" t="n">
        <v>70</v>
      </c>
      <c r="F41" s="8" t="n">
        <v>0.26</v>
      </c>
      <c r="G41" s="8" t="n">
        <v>0.2</v>
      </c>
      <c r="H41" s="8" t="inlineStr">
        <is>
          <t>MAP: a Track Segment is grabbed.</t>
        </is>
      </c>
    </row>
    <row r="42">
      <c r="A42" s="8" t="inlineStr">
        <is>
          <t>map_collect</t>
        </is>
      </c>
      <c r="B42" s="8" t="inlineStr">
        <is>
          <t>square</t>
        </is>
      </c>
      <c r="C42" s="8" t="n">
        <v>880</v>
      </c>
      <c r="D42" s="8" t="n">
        <v>2200</v>
      </c>
      <c r="E42" s="8" t="n">
        <v>150</v>
      </c>
      <c r="F42" s="8" t="n">
        <v>0.28</v>
      </c>
      <c r="G42" s="8" t="n">
        <v>0.35</v>
      </c>
      <c r="H42" s="8" t="inlineStr">
        <is>
          <t>MAP: it lands in the Emotional Trip bar.</t>
        </is>
      </c>
    </row>
    <row r="43">
      <c r="A43" s="8" t="inlineStr">
        <is>
          <t>map_entity</t>
        </is>
      </c>
      <c r="B43" s="8" t="inlineStr">
        <is>
          <t>noise</t>
        </is>
      </c>
      <c r="C43" s="8" t="n">
        <v>520</v>
      </c>
      <c r="D43" s="8" t="n">
        <v>240</v>
      </c>
      <c r="E43" s="8" t="n">
        <v>180</v>
      </c>
      <c r="F43" s="8" t="n">
        <v>0.28</v>
      </c>
      <c r="G43" s="8" t="n">
        <v>0.45</v>
      </c>
      <c r="H43" s="8" t="inlineStr">
        <is>
          <t>MAP: an Emotional Entity is prodded.</t>
        </is>
      </c>
    </row>
    <row r="44">
      <c r="A44" s="8" t="inlineStr">
        <is>
          <t>ui_tap</t>
        </is>
      </c>
      <c r="B44" s="8" t="inlineStr">
        <is>
          <t>square</t>
        </is>
      </c>
      <c r="C44" s="8" t="n">
        <v>900</v>
      </c>
      <c r="D44" s="8" t="n">
        <v>1240</v>
      </c>
      <c r="E44" s="8" t="n">
        <v>52</v>
      </c>
      <c r="F44" s="8" t="n">
        <v>0.22</v>
      </c>
      <c r="G44" s="8" t="n">
        <v>0.14</v>
      </c>
      <c r="H44" s="8" t="inlineStr">
        <is>
          <t>MAP: a button.</t>
        </is>
      </c>
    </row>
    <row r="45">
      <c r="A45" s="8" t="inlineStr">
        <is>
          <t>ui_open</t>
        </is>
      </c>
      <c r="B45" s="8" t="inlineStr">
        <is>
          <t>square</t>
        </is>
      </c>
      <c r="C45" s="8" t="n">
        <v>520</v>
      </c>
      <c r="D45" s="8" t="n">
        <v>1180</v>
      </c>
      <c r="E45" s="8" t="n">
        <v>120</v>
      </c>
      <c r="F45" s="8" t="n">
        <v>0.24</v>
      </c>
      <c r="G45" s="8" t="n">
        <v>0.28</v>
      </c>
      <c r="H45" s="8" t="inlineStr">
        <is>
          <t>MAP: a panel comes up.</t>
        </is>
      </c>
    </row>
    <row r="46">
      <c r="A46" s="8" t="inlineStr">
        <is>
          <t>ui_close</t>
        </is>
      </c>
      <c r="B46" s="8" t="inlineStr">
        <is>
          <t>square</t>
        </is>
      </c>
      <c r="C46" s="8" t="n">
        <v>1180</v>
      </c>
      <c r="D46" s="8" t="n">
        <v>520</v>
      </c>
      <c r="E46" s="8" t="n">
        <v>110</v>
      </c>
      <c r="F46" s="8" t="n">
        <v>0.2</v>
      </c>
      <c r="G46" s="8" t="n">
        <v>0.22</v>
      </c>
      <c r="H46" s="8" t="inlineStr">
        <is>
          <t>MAP: a panel goes away.</t>
        </is>
      </c>
    </row>
    <row r="47">
      <c r="A47" s="8" t="inlineStr">
        <is>
          <t>ui_page</t>
        </is>
      </c>
      <c r="B47" s="8" t="inlineStr">
        <is>
          <t>square</t>
        </is>
      </c>
      <c r="C47" s="8" t="n">
        <v>760</v>
      </c>
      <c r="D47" s="8" t="n">
        <v>1010</v>
      </c>
      <c r="E47" s="8" t="n">
        <v>60</v>
      </c>
      <c r="F47" s="8" t="n">
        <v>0.18</v>
      </c>
      <c r="G47" s="8" t="n">
        <v>0.16</v>
      </c>
      <c r="H47" s="8" t="inlineStr">
        <is>
          <t>MAP: moving between tabs.</t>
        </is>
      </c>
    </row>
    <row r="48">
      <c r="A48" s="8" t="inlineStr">
        <is>
          <t>ui_equip</t>
        </is>
      </c>
      <c r="B48" s="8" t="inlineStr">
        <is>
          <t>square</t>
        </is>
      </c>
      <c r="C48" s="8" t="n">
        <v>640</v>
      </c>
      <c r="D48" s="8" t="n">
        <v>1560</v>
      </c>
      <c r="E48" s="8" t="n">
        <v>170</v>
      </c>
      <c r="F48" s="8" t="n">
        <v>0.26</v>
      </c>
      <c r="G48" s="8" t="n">
        <v>0.32</v>
      </c>
      <c r="H48" s="8" t="inlineStr">
        <is>
          <t>MAP: something is put on.</t>
        </is>
      </c>
    </row>
    <row r="49">
      <c r="A49" s="8" t="inlineStr">
        <is>
          <t>ui_deny</t>
        </is>
      </c>
      <c r="B49" s="8" t="inlineStr">
        <is>
          <t>sawtooth</t>
        </is>
      </c>
      <c r="C49" s="8" t="n">
        <v>340</v>
      </c>
      <c r="D49" s="8" t="n">
        <v>180</v>
      </c>
      <c r="E49" s="8" t="n">
        <v>150</v>
      </c>
      <c r="F49" s="8" t="n">
        <v>0.24</v>
      </c>
      <c r="G49" s="8" t="n">
        <v>0.2</v>
      </c>
      <c r="H49" s="8" t="inlineStr">
        <is>
          <t>MAP: refused - not owned, no route, no key.</t>
        </is>
      </c>
    </row>
    <row r="50">
      <c r="A50" s="8" t="inlineStr">
        <is>
          <t>map_screech</t>
        </is>
      </c>
      <c r="B50" s="8" t="inlineStr">
        <is>
          <t>sawtooth</t>
        </is>
      </c>
      <c r="C50" s="8" t="n">
        <v>3200</v>
      </c>
      <c r="D50" s="8" t="n">
        <v>240</v>
      </c>
      <c r="E50" s="8" t="n">
        <v>520</v>
      </c>
      <c r="F50" s="8" t="n">
        <v>0.5</v>
      </c>
      <c r="G50" s="8" t="n">
        <v>0.55</v>
      </c>
      <c r="H50" s="8" t="inlineStr">
        <is>
          <t>MAP: a fight starts. Violent, and the same sound whether the enemy forced it or you did - what it marks is the moment the ride stops being a ride.</t>
        </is>
      </c>
    </row>
    <row r="51">
      <c r="A51" s="8" t="inlineStr">
        <is>
          <t>boss_charge</t>
        </is>
      </c>
      <c r="B51" s="8" t="inlineStr">
        <is>
          <t>sawtooth</t>
        </is>
      </c>
      <c r="C51" s="8" t="n">
        <v>90</v>
      </c>
      <c r="D51" s="8" t="n">
        <v>1500</v>
      </c>
      <c r="E51" s="8" t="n">
        <v>4600</v>
      </c>
      <c r="F51" s="8" t="n">
        <v>0.34</v>
      </c>
      <c r="G51" s="8" t="n">
        <v>0.3</v>
      </c>
      <c r="H51" s="8" t="inlineStr">
        <is>
          <t>BATTLE: a Line Manager pulling her stamina back up. Long and rising, the length of the recovery itself.</t>
        </is>
      </c>
    </row>
    <row r="52">
      <c r="A52" s="8" t="inlineStr">
        <is>
          <t>boss_roar</t>
        </is>
      </c>
      <c r="B52" s="8" t="inlineStr">
        <is>
          <t>sawtooth</t>
        </is>
      </c>
      <c r="C52" s="8" t="n">
        <v>1400</v>
      </c>
      <c r="D52" s="8" t="n">
        <v>120</v>
      </c>
      <c r="E52" s="8" t="n">
        <v>900</v>
      </c>
      <c r="F52" s="8" t="n">
        <v>0.52</v>
      </c>
      <c r="G52" s="8" t="n">
        <v>0.6</v>
      </c>
      <c r="H52" s="8" t="inlineStr">
        <is>
          <t>BATTLE: a Line Manager refusing to fall.</t>
        </is>
      </c>
    </row>
    <row r="53">
      <c r="A53" s="8" t="inlineStr">
        <is>
          <t>flee_hold</t>
        </is>
      </c>
      <c r="B53" s="8" t="inlineStr">
        <is>
          <t>square</t>
        </is>
      </c>
      <c r="C53" s="8" t="n">
        <v>300</v>
      </c>
      <c r="D53" s="8" t="n">
        <v>1300</v>
      </c>
      <c r="E53" s="8" t="n">
        <v>3000</v>
      </c>
      <c r="F53" s="8" t="n">
        <v>0.16</v>
      </c>
      <c r="G53" s="8" t="n">
        <v>0.22</v>
      </c>
      <c r="H53" s="8" t="inlineStr">
        <is>
          <t>BATTLE: the escape ring closing under a held finger. Quiet and rising - it has to be audible under three seconds of nothing happening without becoming the loudest thing in the fight.</t>
        </is>
      </c>
    </row>
    <row r="54">
      <c r="A54" s="8" t="inlineStr">
        <is>
          <t>flee_go</t>
        </is>
      </c>
      <c r="B54" s="8" t="inlineStr">
        <is>
          <t>noise</t>
        </is>
      </c>
      <c r="C54" s="8" t="n">
        <v>1800</v>
      </c>
      <c r="D54" s="8" t="n">
        <v>200</v>
      </c>
      <c r="E54" s="8" t="n">
        <v>420</v>
      </c>
      <c r="F54" s="8" t="n">
        <v>0.4</v>
      </c>
      <c r="G54" s="8" t="n">
        <v>0.5</v>
      </c>
      <c r="H54" s="8" t="inlineStr">
        <is>
          <t>BATTLE: the ring closes and the fight is abandoned.</t>
        </is>
      </c>
    </row>
    <row r="55">
      <c r="A55" s="8" t="inlineStr">
        <is>
          <t>map_tripup</t>
        </is>
      </c>
      <c r="B55" s="8" t="inlineStr">
        <is>
          <t>sine</t>
        </is>
      </c>
      <c r="C55" s="8" t="n">
        <v>520</v>
      </c>
      <c r="D55" s="8" t="n">
        <v>880</v>
      </c>
      <c r="E55" s="8" t="n">
        <v>180</v>
      </c>
      <c r="F55" s="8" t="n">
        <v>0.22</v>
      </c>
      <c r="G55" s="8" t="n">
        <v>0.18</v>
      </c>
      <c r="H55" s="8" t="inlineStr">
        <is>
          <t>A segment lands in the Emotional Trip bar. Soft and rising — the one sound in the ride that is a reward rather than a click.</t>
        </is>
      </c>
    </row>
    <row r="56">
      <c r="A56" s="8" t="inlineStr">
        <is>
          <t>ui_station</t>
        </is>
      </c>
      <c r="B56" s="8" t="inlineStr">
        <is>
          <t>triangle</t>
        </is>
      </c>
      <c r="C56" s="8" t="n">
        <v>680</v>
      </c>
      <c r="D56" s="8" t="n">
        <v>1180</v>
      </c>
      <c r="E56" s="8" t="n">
        <v>140</v>
      </c>
      <c r="F56" s="8" t="n">
        <v>0.24</v>
      </c>
      <c r="G56" s="8" t="n">
        <v>0.34</v>
      </c>
      <c r="H56" s="8" t="inlineStr">
        <is>
          <t>MAP: a station panel opens.</t>
        </is>
      </c>
    </row>
  </sheetData>
  <mergeCells count="1">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14" customWidth="1" min="3" max="3"/>
    <col width="22" customWidth="1" min="4" max="4"/>
    <col width="14" customWidth="1" min="5" max="5"/>
    <col width="22" customWidth="1" min="6" max="6"/>
    <col width="11" customWidth="1" min="7" max="7"/>
    <col width="11" customWidth="1" min="8" max="8"/>
    <col width="18" customWidth="1" min="9" max="9"/>
    <col width="11" customWidth="1" min="10" max="10"/>
    <col width="11" customWidth="1" min="11" max="11"/>
    <col width="12" customWidth="1" min="12" max="12"/>
    <col width="30" customWidth="1" min="13" max="13"/>
  </cols>
  <sheetData>
    <row r="1">
      <c r="A1" s="4" t="inlineStr">
        <is>
          <t>One row per PLACE, not per stop — an interchange is a single station several lines call at. `state` is the station's condition (blank = nothing special); it drives what the map shows and what happens to a player passing through, in either direction. x/y are schematic world units; the renderer squares every link to 45 degrees, so they only need to be roughly right.</t>
        </is>
      </c>
    </row>
    <row r="3">
      <c r="A3" s="5" t="inlineStr">
        <is>
          <t>id</t>
        </is>
      </c>
      <c r="B3" s="5" t="inlineStr">
        <is>
          <t>name</t>
        </is>
      </c>
      <c r="C3" s="5" t="inlineStr">
        <is>
          <t>lines</t>
        </is>
      </c>
      <c r="D3" s="5" t="inlineStr">
        <is>
          <t>emotions</t>
        </is>
      </c>
      <c r="E3" s="5" t="inlineStr">
        <is>
          <t>state</t>
        </is>
      </c>
      <c r="F3" s="5" t="inlineStr">
        <is>
          <t>spawn</t>
        </is>
      </c>
      <c r="G3" s="5" t="inlineStr">
        <is>
          <t>fog</t>
        </is>
      </c>
      <c r="H3" s="5" t="inlineStr">
        <is>
          <t>threat</t>
        </is>
      </c>
      <c r="I3" s="5" t="inlineStr">
        <is>
          <t>diltransience</t>
        </is>
      </c>
      <c r="J3" s="5" t="inlineStr">
        <is>
          <t>x</t>
        </is>
      </c>
      <c r="K3" s="5" t="inlineStr">
        <is>
          <t>y</t>
        </is>
      </c>
      <c r="L3" s="5" t="inlineStr">
        <is>
          <t>enabled</t>
        </is>
      </c>
      <c r="M3" s="5" t="inlineStr">
        <is>
          <t>notes</t>
        </is>
      </c>
    </row>
    <row r="4">
      <c r="A4" s="6" t="inlineStr">
        <is>
          <t>LIVE</t>
        </is>
      </c>
      <c r="B4" s="6" t="inlineStr">
        <is>
          <t>LIVE</t>
        </is>
      </c>
      <c r="C4" s="6" t="inlineStr">
        <is>
          <t>LIVE</t>
        </is>
      </c>
      <c r="D4" s="6" t="inlineStr">
        <is>
          <t>LIVE</t>
        </is>
      </c>
      <c r="E4" s="6" t="inlineStr">
        <is>
          <t>LIVE</t>
        </is>
      </c>
      <c r="F4" s="6" t="inlineStr">
        <is>
          <t>LIVE</t>
        </is>
      </c>
      <c r="G4" s="6" t="inlineStr">
        <is>
          <t>LIVE</t>
        </is>
      </c>
      <c r="H4" s="6" t="inlineStr">
        <is>
          <t>LIVE</t>
        </is>
      </c>
      <c r="I4" s="6" t="inlineStr">
        <is>
          <t>LIVE</t>
        </is>
      </c>
      <c r="J4" s="6" t="inlineStr">
        <is>
          <t>LIVE</t>
        </is>
      </c>
      <c r="K4" s="6" t="inlineStr">
        <is>
          <t>LIVE</t>
        </is>
      </c>
      <c r="L4" s="6" t="inlineStr">
        <is>
          <t>LIVE</t>
        </is>
      </c>
      <c r="M4" s="7" t="inlineStr">
        <is>
          <t>planned</t>
        </is>
      </c>
    </row>
    <row r="5">
      <c r="A5" s="8" t="inlineStr">
        <is>
          <t>TRINITAT_NOVA</t>
        </is>
      </c>
      <c r="B5" s="8" t="inlineStr">
        <is>
          <t>Trinitat Nova</t>
        </is>
      </c>
      <c r="C5" s="8" t="inlineStr">
        <is>
          <t>L3|L4</t>
        </is>
      </c>
      <c r="D5" s="8" t="inlineStr">
        <is>
          <t>DISGUST|JOY</t>
        </is>
      </c>
      <c r="E5" s="8" t="inlineStr"/>
      <c r="F5" s="8" t="inlineStr"/>
      <c r="G5" s="8" t="inlineStr"/>
      <c r="H5" s="8" t="inlineStr"/>
      <c r="I5" s="8" t="inlineStr"/>
      <c r="J5" s="8" t="inlineStr">
        <is>
          <t>414</t>
        </is>
      </c>
      <c r="K5" s="8" t="inlineStr">
        <is>
          <t>24</t>
        </is>
      </c>
      <c r="L5" s="8" t="inlineStr">
        <is>
          <t>1</t>
        </is>
      </c>
      <c r="M5" s="8" t="inlineStr"/>
    </row>
    <row r="6">
      <c r="A6" s="8" t="inlineStr">
        <is>
          <t>ROQUETES</t>
        </is>
      </c>
      <c r="B6" s="8" t="inlineStr">
        <is>
          <t>Roquetes</t>
        </is>
      </c>
      <c r="C6" s="8" t="inlineStr">
        <is>
          <t>L3</t>
        </is>
      </c>
      <c r="D6" s="8" t="inlineStr">
        <is>
          <t>DISGUST</t>
        </is>
      </c>
      <c r="E6" s="8" t="inlineStr"/>
      <c r="F6" s="8" t="inlineStr"/>
      <c r="G6" s="8" t="inlineStr"/>
      <c r="H6" s="8" t="inlineStr"/>
      <c r="I6" s="8" t="inlineStr"/>
      <c r="J6" s="8" t="inlineStr">
        <is>
          <t>396</t>
        </is>
      </c>
      <c r="K6" s="8" t="inlineStr">
        <is>
          <t>42</t>
        </is>
      </c>
      <c r="L6" s="8" t="inlineStr">
        <is>
          <t>1</t>
        </is>
      </c>
      <c r="M6" s="8" t="inlineStr"/>
    </row>
    <row r="7">
      <c r="A7" s="8" t="inlineStr">
        <is>
          <t>CANYELLES</t>
        </is>
      </c>
      <c r="B7" s="8" t="inlineStr">
        <is>
          <t>Canyelles</t>
        </is>
      </c>
      <c r="C7" s="8" t="inlineStr">
        <is>
          <t>L3</t>
        </is>
      </c>
      <c r="D7" s="8" t="inlineStr">
        <is>
          <t>DISGUST</t>
        </is>
      </c>
      <c r="E7" s="8" t="inlineStr"/>
      <c r="F7" s="8" t="inlineStr"/>
      <c r="G7" s="8" t="inlineStr"/>
      <c r="H7" s="8" t="inlineStr"/>
      <c r="I7" s="8" t="inlineStr"/>
      <c r="J7" s="8" t="inlineStr">
        <is>
          <t>378</t>
        </is>
      </c>
      <c r="K7" s="8" t="inlineStr">
        <is>
          <t>60</t>
        </is>
      </c>
      <c r="L7" s="8" t="inlineStr">
        <is>
          <t>1</t>
        </is>
      </c>
      <c r="M7" s="8" t="inlineStr"/>
    </row>
    <row r="8">
      <c r="A8" s="8" t="inlineStr">
        <is>
          <t>VIA_JULIA</t>
        </is>
      </c>
      <c r="B8" s="8" t="inlineStr">
        <is>
          <t>Via Júlia</t>
        </is>
      </c>
      <c r="C8" s="8" t="inlineStr">
        <is>
          <t>L4</t>
        </is>
      </c>
      <c r="D8" s="8" t="inlineStr">
        <is>
          <t>JOY</t>
        </is>
      </c>
      <c r="E8" s="8" t="inlineStr"/>
      <c r="F8" s="8" t="inlineStr"/>
      <c r="G8" s="8" t="inlineStr"/>
      <c r="H8" s="8" t="inlineStr"/>
      <c r="I8" s="8" t="inlineStr"/>
      <c r="J8" s="8" t="inlineStr">
        <is>
          <t>432</t>
        </is>
      </c>
      <c r="K8" s="8" t="inlineStr">
        <is>
          <t>60</t>
        </is>
      </c>
      <c r="L8" s="8" t="inlineStr">
        <is>
          <t>1</t>
        </is>
      </c>
      <c r="M8" s="8" t="inlineStr"/>
    </row>
    <row r="9">
      <c r="A9" s="8" t="inlineStr">
        <is>
          <t>VALLDAURA</t>
        </is>
      </c>
      <c r="B9" s="8" t="inlineStr">
        <is>
          <t>Valldaura</t>
        </is>
      </c>
      <c r="C9" s="8" t="inlineStr">
        <is>
          <t>L3</t>
        </is>
      </c>
      <c r="D9" s="8" t="inlineStr">
        <is>
          <t>DISGUST</t>
        </is>
      </c>
      <c r="E9" s="8" t="inlineStr"/>
      <c r="F9" s="8" t="inlineStr"/>
      <c r="G9" s="8" t="inlineStr"/>
      <c r="H9" s="8" t="inlineStr"/>
      <c r="I9" s="8" t="inlineStr"/>
      <c r="J9" s="8" t="inlineStr">
        <is>
          <t>360</t>
        </is>
      </c>
      <c r="K9" s="8" t="inlineStr">
        <is>
          <t>78</t>
        </is>
      </c>
      <c r="L9" s="8" t="inlineStr">
        <is>
          <t>1</t>
        </is>
      </c>
      <c r="M9" s="8" t="inlineStr"/>
    </row>
    <row r="10">
      <c r="A10" s="8" t="inlineStr">
        <is>
          <t>MUNDET</t>
        </is>
      </c>
      <c r="B10" s="8" t="inlineStr">
        <is>
          <t>Mundet</t>
        </is>
      </c>
      <c r="C10" s="8" t="inlineStr">
        <is>
          <t>L3</t>
        </is>
      </c>
      <c r="D10" s="8" t="inlineStr">
        <is>
          <t>DISGUST</t>
        </is>
      </c>
      <c r="E10" s="8" t="inlineStr"/>
      <c r="F10" s="8" t="inlineStr"/>
      <c r="G10" s="8" t="inlineStr"/>
      <c r="H10" s="8" t="inlineStr"/>
      <c r="I10" s="8" t="inlineStr"/>
      <c r="J10" s="8" t="inlineStr">
        <is>
          <t>342</t>
        </is>
      </c>
      <c r="K10" s="8" t="inlineStr">
        <is>
          <t>96</t>
        </is>
      </c>
      <c r="L10" s="8" t="inlineStr">
        <is>
          <t>1</t>
        </is>
      </c>
      <c r="M10" s="8" t="inlineStr"/>
    </row>
    <row r="11">
      <c r="A11" s="8" t="inlineStr">
        <is>
          <t>MONTBAU</t>
        </is>
      </c>
      <c r="B11" s="8" t="inlineStr">
        <is>
          <t>Montbau</t>
        </is>
      </c>
      <c r="C11" s="8" t="inlineStr">
        <is>
          <t>L3</t>
        </is>
      </c>
      <c r="D11" s="8" t="inlineStr">
        <is>
          <t>DISGUST</t>
        </is>
      </c>
      <c r="E11" s="8" t="inlineStr"/>
      <c r="F11" s="8" t="inlineStr"/>
      <c r="G11" s="8" t="inlineStr"/>
      <c r="H11" s="8" t="inlineStr"/>
      <c r="I11" s="8" t="inlineStr"/>
      <c r="J11" s="8" t="inlineStr">
        <is>
          <t>324</t>
        </is>
      </c>
      <c r="K11" s="8" t="inlineStr">
        <is>
          <t>114</t>
        </is>
      </c>
      <c r="L11" s="8" t="inlineStr">
        <is>
          <t>1</t>
        </is>
      </c>
      <c r="M11" s="8" t="inlineStr"/>
    </row>
    <row r="12">
      <c r="A12" s="8" t="inlineStr">
        <is>
          <t>LLUCMAJOR</t>
        </is>
      </c>
      <c r="B12" s="8" t="inlineStr">
        <is>
          <t>Llucmajor</t>
        </is>
      </c>
      <c r="C12" s="8" t="inlineStr">
        <is>
          <t>L4</t>
        </is>
      </c>
      <c r="D12" s="8" t="inlineStr">
        <is>
          <t>JOY</t>
        </is>
      </c>
      <c r="E12" s="8" t="inlineStr"/>
      <c r="F12" s="8" t="inlineStr"/>
      <c r="G12" s="8" t="inlineStr"/>
      <c r="H12" s="8" t="inlineStr"/>
      <c r="I12" s="8" t="inlineStr"/>
      <c r="J12" s="8" t="inlineStr">
        <is>
          <t>432</t>
        </is>
      </c>
      <c r="K12" s="8" t="inlineStr">
        <is>
          <t>120</t>
        </is>
      </c>
      <c r="L12" s="8" t="inlineStr">
        <is>
          <t>1</t>
        </is>
      </c>
      <c r="M12" s="8" t="inlineStr"/>
    </row>
    <row r="13">
      <c r="A13" s="8" t="inlineStr">
        <is>
          <t>EL_COLL_LA_TEIXONERA</t>
        </is>
      </c>
      <c r="B13" s="8" t="inlineStr">
        <is>
          <t>El Coll | La Teixonera</t>
        </is>
      </c>
      <c r="C13" s="8" t="inlineStr">
        <is>
          <t>L5</t>
        </is>
      </c>
      <c r="D13" s="8" t="inlineStr">
        <is>
          <t>SADNESS</t>
        </is>
      </c>
      <c r="E13" s="8" t="inlineStr"/>
      <c r="F13" s="8" t="inlineStr"/>
      <c r="G13" s="8" t="inlineStr"/>
      <c r="H13" s="8" t="inlineStr"/>
      <c r="I13" s="8" t="inlineStr"/>
      <c r="J13" s="8" t="inlineStr">
        <is>
          <t>342</t>
        </is>
      </c>
      <c r="K13" s="8" t="inlineStr">
        <is>
          <t>126</t>
        </is>
      </c>
      <c r="L13" s="8" t="inlineStr">
        <is>
          <t>1</t>
        </is>
      </c>
      <c r="M13" s="8" t="inlineStr"/>
    </row>
    <row r="14">
      <c r="A14" s="8" t="inlineStr">
        <is>
          <t>EL_CARMEL</t>
        </is>
      </c>
      <c r="B14" s="8" t="inlineStr">
        <is>
          <t>El Carmel</t>
        </is>
      </c>
      <c r="C14" s="8" t="inlineStr">
        <is>
          <t>L5</t>
        </is>
      </c>
      <c r="D14" s="8" t="inlineStr">
        <is>
          <t>SADNESS</t>
        </is>
      </c>
      <c r="E14" s="8" t="inlineStr"/>
      <c r="F14" s="8" t="inlineStr"/>
      <c r="G14" s="8" t="inlineStr"/>
      <c r="H14" s="8" t="inlineStr"/>
      <c r="I14" s="8" t="inlineStr"/>
      <c r="J14" s="8" t="inlineStr">
        <is>
          <t>360</t>
        </is>
      </c>
      <c r="K14" s="8" t="inlineStr">
        <is>
          <t>126</t>
        </is>
      </c>
      <c r="L14" s="8" t="inlineStr">
        <is>
          <t>1</t>
        </is>
      </c>
      <c r="M14" s="8" t="inlineStr"/>
    </row>
    <row r="15">
      <c r="A15" s="8" t="inlineStr">
        <is>
          <t>HORTA</t>
        </is>
      </c>
      <c r="B15" s="8" t="inlineStr">
        <is>
          <t>Horta</t>
        </is>
      </c>
      <c r="C15" s="8" t="inlineStr">
        <is>
          <t>L5</t>
        </is>
      </c>
      <c r="D15" s="8" t="inlineStr">
        <is>
          <t>SADNESS</t>
        </is>
      </c>
      <c r="E15" s="8" t="inlineStr"/>
      <c r="F15" s="8" t="inlineStr"/>
      <c r="G15" s="8" t="inlineStr"/>
      <c r="H15" s="8" t="inlineStr"/>
      <c r="I15" s="8" t="inlineStr"/>
      <c r="J15" s="8" t="inlineStr">
        <is>
          <t>378</t>
        </is>
      </c>
      <c r="K15" s="8" t="inlineStr">
        <is>
          <t>126</t>
        </is>
      </c>
      <c r="L15" s="8" t="inlineStr">
        <is>
          <t>1</t>
        </is>
      </c>
      <c r="M15" s="8" t="inlineStr"/>
    </row>
    <row r="16">
      <c r="A16" s="8" t="inlineStr">
        <is>
          <t>FONDO</t>
        </is>
      </c>
      <c r="B16" s="8" t="inlineStr">
        <is>
          <t>Fondo</t>
        </is>
      </c>
      <c r="C16" s="8" t="inlineStr">
        <is>
          <t>L1</t>
        </is>
      </c>
      <c r="D16" s="8" t="inlineStr">
        <is>
          <t>ANGER</t>
        </is>
      </c>
      <c r="E16" s="8" t="inlineStr"/>
      <c r="F16" s="8" t="inlineStr"/>
      <c r="G16" s="8" t="inlineStr"/>
      <c r="H16" s="8" t="inlineStr"/>
      <c r="I16" s="8" t="inlineStr"/>
      <c r="J16" s="8" t="inlineStr">
        <is>
          <t>540</t>
        </is>
      </c>
      <c r="K16" s="8" t="inlineStr">
        <is>
          <t>126</t>
        </is>
      </c>
      <c r="L16" s="8" t="inlineStr">
        <is>
          <t>1</t>
        </is>
      </c>
      <c r="M16" s="8" t="inlineStr"/>
    </row>
    <row r="17">
      <c r="A17" s="8" t="inlineStr">
        <is>
          <t>SARRIA</t>
        </is>
      </c>
      <c r="B17" s="8" t="inlineStr">
        <is>
          <t>Sarrià</t>
        </is>
      </c>
      <c r="C17" s="8" t="inlineStr">
        <is>
          <t>L6</t>
        </is>
      </c>
      <c r="D17" s="8" t="inlineStr">
        <is>
          <t>FEAR</t>
        </is>
      </c>
      <c r="E17" s="8" t="inlineStr"/>
      <c r="F17" s="8" t="inlineStr"/>
      <c r="G17" s="8" t="inlineStr"/>
      <c r="H17" s="8" t="inlineStr"/>
      <c r="I17" s="8" t="inlineStr"/>
      <c r="J17" s="8" t="inlineStr">
        <is>
          <t>186</t>
        </is>
      </c>
      <c r="K17" s="8" t="inlineStr">
        <is>
          <t>144</t>
        </is>
      </c>
      <c r="L17" s="8" t="inlineStr">
        <is>
          <t>1</t>
        </is>
      </c>
      <c r="M17" s="8" t="inlineStr"/>
    </row>
    <row r="18">
      <c r="A18" s="8" t="inlineStr">
        <is>
          <t>VALL_D_HEBRON</t>
        </is>
      </c>
      <c r="B18" s="8" t="inlineStr">
        <is>
          <t>Vall d'Hebron</t>
        </is>
      </c>
      <c r="C18" s="8" t="inlineStr">
        <is>
          <t>L3|L5</t>
        </is>
      </c>
      <c r="D18" s="8" t="inlineStr">
        <is>
          <t>DISGUST|SADNESS</t>
        </is>
      </c>
      <c r="E18" s="8" t="inlineStr"/>
      <c r="F18" s="8" t="inlineStr"/>
      <c r="G18" s="8" t="inlineStr"/>
      <c r="H18" s="8" t="inlineStr"/>
      <c r="I18" s="8" t="inlineStr"/>
      <c r="J18" s="8" t="inlineStr">
        <is>
          <t>324</t>
        </is>
      </c>
      <c r="K18" s="8" t="inlineStr">
        <is>
          <t>144</t>
        </is>
      </c>
      <c r="L18" s="8" t="inlineStr">
        <is>
          <t>1</t>
        </is>
      </c>
      <c r="M18" s="8" t="inlineStr"/>
    </row>
    <row r="19">
      <c r="A19" s="8" t="inlineStr">
        <is>
          <t>VILAPICINA</t>
        </is>
      </c>
      <c r="B19" s="8" t="inlineStr">
        <is>
          <t>Vilapicina</t>
        </is>
      </c>
      <c r="C19" s="8" t="inlineStr">
        <is>
          <t>L5</t>
        </is>
      </c>
      <c r="D19" s="8" t="inlineStr">
        <is>
          <t>SADNESS</t>
        </is>
      </c>
      <c r="E19" s="8" t="inlineStr"/>
      <c r="F19" s="8" t="inlineStr"/>
      <c r="G19" s="8" t="inlineStr"/>
      <c r="H19" s="8" t="inlineStr"/>
      <c r="I19" s="8" t="inlineStr"/>
      <c r="J19" s="8" t="inlineStr">
        <is>
          <t>396</t>
        </is>
      </c>
      <c r="K19" s="8" t="inlineStr">
        <is>
          <t>144</t>
        </is>
      </c>
      <c r="L19" s="8" t="inlineStr">
        <is>
          <t>1</t>
        </is>
      </c>
      <c r="M19" s="8" t="inlineStr"/>
    </row>
    <row r="20">
      <c r="A20" s="8" t="inlineStr">
        <is>
          <t>SANTA_COLOMA</t>
        </is>
      </c>
      <c r="B20" s="8" t="inlineStr">
        <is>
          <t>Santa Coloma</t>
        </is>
      </c>
      <c r="C20" s="8" t="inlineStr">
        <is>
          <t>L1</t>
        </is>
      </c>
      <c r="D20" s="8" t="inlineStr">
        <is>
          <t>ANGER</t>
        </is>
      </c>
      <c r="E20" s="8" t="inlineStr"/>
      <c r="F20" s="8" t="inlineStr"/>
      <c r="G20" s="8" t="inlineStr"/>
      <c r="H20" s="8" t="inlineStr"/>
      <c r="I20" s="8" t="inlineStr"/>
      <c r="J20" s="8" t="inlineStr">
        <is>
          <t>522</t>
        </is>
      </c>
      <c r="K20" s="8" t="inlineStr">
        <is>
          <t>144</t>
        </is>
      </c>
      <c r="L20" s="8" t="inlineStr">
        <is>
          <t>1</t>
        </is>
      </c>
      <c r="M20" s="8" t="inlineStr"/>
    </row>
    <row r="21">
      <c r="A21" s="8" t="inlineStr">
        <is>
          <t>LES_TRES_TORRES</t>
        </is>
      </c>
      <c r="B21" s="8" t="inlineStr">
        <is>
          <t>Les Tres Torres</t>
        </is>
      </c>
      <c r="C21" s="8" t="inlineStr">
        <is>
          <t>L6</t>
        </is>
      </c>
      <c r="D21" s="8" t="inlineStr">
        <is>
          <t>FEAR</t>
        </is>
      </c>
      <c r="E21" s="8" t="inlineStr"/>
      <c r="F21" s="8" t="inlineStr"/>
      <c r="G21" s="8" t="inlineStr"/>
      <c r="H21" s="8" t="inlineStr"/>
      <c r="I21" s="8" t="inlineStr"/>
      <c r="J21" s="8" t="inlineStr">
        <is>
          <t>204</t>
        </is>
      </c>
      <c r="K21" s="8" t="inlineStr">
        <is>
          <t>162</t>
        </is>
      </c>
      <c r="L21" s="8" t="inlineStr">
        <is>
          <t>1</t>
        </is>
      </c>
      <c r="M21" s="8" t="inlineStr"/>
    </row>
    <row r="22">
      <c r="A22" s="8" t="inlineStr">
        <is>
          <t>PENITENTS</t>
        </is>
      </c>
      <c r="B22" s="8" t="inlineStr">
        <is>
          <t>Penitents</t>
        </is>
      </c>
      <c r="C22" s="8" t="inlineStr">
        <is>
          <t>L3</t>
        </is>
      </c>
      <c r="D22" s="8" t="inlineStr">
        <is>
          <t>DISGUST</t>
        </is>
      </c>
      <c r="E22" s="8" t="inlineStr"/>
      <c r="F22" s="8" t="inlineStr"/>
      <c r="G22" s="8" t="inlineStr"/>
      <c r="H22" s="8" t="inlineStr"/>
      <c r="I22" s="8" t="inlineStr"/>
      <c r="J22" s="8" t="inlineStr">
        <is>
          <t>306</t>
        </is>
      </c>
      <c r="K22" s="8" t="inlineStr">
        <is>
          <t>162</t>
        </is>
      </c>
      <c r="L22" s="8" t="inlineStr">
        <is>
          <t>1</t>
        </is>
      </c>
      <c r="M22" s="8" t="inlineStr"/>
    </row>
    <row r="23">
      <c r="A23" s="8" t="inlineStr">
        <is>
          <t>VIRREI_AMAT</t>
        </is>
      </c>
      <c r="B23" s="8" t="inlineStr">
        <is>
          <t>Virrei Amat</t>
        </is>
      </c>
      <c r="C23" s="8" t="inlineStr">
        <is>
          <t>L5</t>
        </is>
      </c>
      <c r="D23" s="8" t="inlineStr">
        <is>
          <t>SADNESS</t>
        </is>
      </c>
      <c r="E23" s="8" t="inlineStr"/>
      <c r="F23" s="8" t="inlineStr"/>
      <c r="G23" s="8" t="inlineStr"/>
      <c r="H23" s="8" t="inlineStr"/>
      <c r="I23" s="8" t="inlineStr"/>
      <c r="J23" s="8" t="inlineStr">
        <is>
          <t>414</t>
        </is>
      </c>
      <c r="K23" s="8" t="inlineStr">
        <is>
          <t>162</t>
        </is>
      </c>
      <c r="L23" s="8" t="inlineStr">
        <is>
          <t>1</t>
        </is>
      </c>
      <c r="M23" s="8" t="inlineStr"/>
    </row>
    <row r="24">
      <c r="A24" s="8" t="inlineStr">
        <is>
          <t>BARO_DE_VIVER</t>
        </is>
      </c>
      <c r="B24" s="8" t="inlineStr">
        <is>
          <t>Baró de Viver</t>
        </is>
      </c>
      <c r="C24" s="8" t="inlineStr">
        <is>
          <t>L1</t>
        </is>
      </c>
      <c r="D24" s="8" t="inlineStr">
        <is>
          <t>ANGER</t>
        </is>
      </c>
      <c r="E24" s="8" t="inlineStr"/>
      <c r="F24" s="8" t="inlineStr"/>
      <c r="G24" s="8" t="inlineStr"/>
      <c r="H24" s="8" t="inlineStr"/>
      <c r="I24" s="8" t="inlineStr"/>
      <c r="J24" s="8" t="inlineStr">
        <is>
          <t>504</t>
        </is>
      </c>
      <c r="K24" s="8" t="inlineStr">
        <is>
          <t>162</t>
        </is>
      </c>
      <c r="L24" s="8" t="inlineStr">
        <is>
          <t>1</t>
        </is>
      </c>
      <c r="M24" s="8" t="inlineStr"/>
    </row>
    <row r="25">
      <c r="A25" s="8" t="inlineStr">
        <is>
          <t>LA_BONANOVA</t>
        </is>
      </c>
      <c r="B25" s="8" t="inlineStr">
        <is>
          <t>La Bonanova</t>
        </is>
      </c>
      <c r="C25" s="8" t="inlineStr">
        <is>
          <t>L6</t>
        </is>
      </c>
      <c r="D25" s="8" t="inlineStr">
        <is>
          <t>FEAR</t>
        </is>
      </c>
      <c r="E25" s="8" t="inlineStr"/>
      <c r="F25" s="8" t="inlineStr"/>
      <c r="G25" s="8" t="inlineStr"/>
      <c r="H25" s="8" t="inlineStr"/>
      <c r="I25" s="8" t="inlineStr"/>
      <c r="J25" s="8" t="inlineStr">
        <is>
          <t>222</t>
        </is>
      </c>
      <c r="K25" s="8" t="inlineStr">
        <is>
          <t>180</t>
        </is>
      </c>
      <c r="L25" s="8" t="inlineStr">
        <is>
          <t>1</t>
        </is>
      </c>
      <c r="M25" s="8" t="inlineStr"/>
    </row>
    <row r="26">
      <c r="A26" s="8" t="inlineStr">
        <is>
          <t>VALLCARCA</t>
        </is>
      </c>
      <c r="B26" s="8" t="inlineStr">
        <is>
          <t>Vallcarca</t>
        </is>
      </c>
      <c r="C26" s="8" t="inlineStr">
        <is>
          <t>L3</t>
        </is>
      </c>
      <c r="D26" s="8" t="inlineStr">
        <is>
          <t>DISGUST</t>
        </is>
      </c>
      <c r="E26" s="8" t="inlineStr"/>
      <c r="F26" s="8" t="inlineStr"/>
      <c r="G26" s="8" t="inlineStr"/>
      <c r="H26" s="8" t="inlineStr"/>
      <c r="I26" s="8" t="inlineStr"/>
      <c r="J26" s="8" t="inlineStr">
        <is>
          <t>306</t>
        </is>
      </c>
      <c r="K26" s="8" t="inlineStr">
        <is>
          <t>180</t>
        </is>
      </c>
      <c r="L26" s="8" t="inlineStr">
        <is>
          <t>1</t>
        </is>
      </c>
      <c r="M26" s="8" t="inlineStr"/>
    </row>
    <row r="27">
      <c r="A27" s="8" t="inlineStr">
        <is>
          <t>MARAGALL</t>
        </is>
      </c>
      <c r="B27" s="8" t="inlineStr">
        <is>
          <t>Maragall</t>
        </is>
      </c>
      <c r="C27" s="8" t="inlineStr">
        <is>
          <t>L4|L5</t>
        </is>
      </c>
      <c r="D27" s="8" t="inlineStr">
        <is>
          <t>JOY|SADNESS</t>
        </is>
      </c>
      <c r="E27" s="8" t="inlineStr"/>
      <c r="F27" s="8" t="inlineStr"/>
      <c r="G27" s="8" t="inlineStr"/>
      <c r="H27" s="8" t="inlineStr"/>
      <c r="I27" s="8" t="inlineStr"/>
      <c r="J27" s="8" t="inlineStr">
        <is>
          <t>432</t>
        </is>
      </c>
      <c r="K27" s="8" t="inlineStr">
        <is>
          <t>180</t>
        </is>
      </c>
      <c r="L27" s="8" t="inlineStr">
        <is>
          <t>1</t>
        </is>
      </c>
      <c r="M27" s="8" t="inlineStr"/>
    </row>
    <row r="28">
      <c r="A28" s="8" t="inlineStr">
        <is>
          <t>TRINITAT_VELLA</t>
        </is>
      </c>
      <c r="B28" s="8" t="inlineStr">
        <is>
          <t>Trinitat Vella</t>
        </is>
      </c>
      <c r="C28" s="8" t="inlineStr">
        <is>
          <t>L1</t>
        </is>
      </c>
      <c r="D28" s="8" t="inlineStr">
        <is>
          <t>ANGER</t>
        </is>
      </c>
      <c r="E28" s="8" t="inlineStr"/>
      <c r="F28" s="8" t="inlineStr"/>
      <c r="G28" s="8" t="inlineStr"/>
      <c r="H28" s="8" t="inlineStr"/>
      <c r="I28" s="8" t="inlineStr"/>
      <c r="J28" s="8" t="inlineStr">
        <is>
          <t>486</t>
        </is>
      </c>
      <c r="K28" s="8" t="inlineStr">
        <is>
          <t>180</t>
        </is>
      </c>
      <c r="L28" s="8" t="inlineStr">
        <is>
          <t>1</t>
        </is>
      </c>
      <c r="M28" s="8" t="inlineStr"/>
    </row>
    <row r="29">
      <c r="A29" s="8" t="inlineStr">
        <is>
          <t>MUNTANER</t>
        </is>
      </c>
      <c r="B29" s="8" t="inlineStr">
        <is>
          <t>Muntaner</t>
        </is>
      </c>
      <c r="C29" s="8" t="inlineStr">
        <is>
          <t>L6</t>
        </is>
      </c>
      <c r="D29" s="8" t="inlineStr">
        <is>
          <t>FEAR</t>
        </is>
      </c>
      <c r="E29" s="8" t="inlineStr"/>
      <c r="F29" s="8" t="inlineStr"/>
      <c r="G29" s="8" t="inlineStr"/>
      <c r="H29" s="8" t="inlineStr"/>
      <c r="I29" s="8" t="inlineStr"/>
      <c r="J29" s="8" t="inlineStr">
        <is>
          <t>240</t>
        </is>
      </c>
      <c r="K29" s="8" t="inlineStr">
        <is>
          <t>198</t>
        </is>
      </c>
      <c r="L29" s="8" t="inlineStr">
        <is>
          <t>1</t>
        </is>
      </c>
      <c r="M29" s="8" t="inlineStr"/>
    </row>
    <row r="30">
      <c r="A30" s="8" t="inlineStr">
        <is>
          <t>LESSEPS</t>
        </is>
      </c>
      <c r="B30" s="8" t="inlineStr">
        <is>
          <t>Lesseps</t>
        </is>
      </c>
      <c r="C30" s="8" t="inlineStr">
        <is>
          <t>L3</t>
        </is>
      </c>
      <c r="D30" s="8" t="inlineStr">
        <is>
          <t>DISGUST</t>
        </is>
      </c>
      <c r="E30" s="8" t="inlineStr"/>
      <c r="F30" s="8" t="inlineStr"/>
      <c r="G30" s="8" t="inlineStr"/>
      <c r="H30" s="8" t="inlineStr"/>
      <c r="I30" s="8" t="inlineStr"/>
      <c r="J30" s="8" t="inlineStr">
        <is>
          <t>306</t>
        </is>
      </c>
      <c r="K30" s="8" t="inlineStr">
        <is>
          <t>198</t>
        </is>
      </c>
      <c r="L30" s="8" t="inlineStr">
        <is>
          <t>1</t>
        </is>
      </c>
      <c r="M30" s="8" t="inlineStr"/>
    </row>
    <row r="31">
      <c r="A31" s="8" t="inlineStr">
        <is>
          <t>GUINARDO_HOSPITAL_DE_SANT_PAU</t>
        </is>
      </c>
      <c r="B31" s="8" t="inlineStr">
        <is>
          <t>Guinardó | Hospital de Sant Pau</t>
        </is>
      </c>
      <c r="C31" s="8" t="inlineStr">
        <is>
          <t>L4</t>
        </is>
      </c>
      <c r="D31" s="8" t="inlineStr">
        <is>
          <t>JOY</t>
        </is>
      </c>
      <c r="E31" s="8" t="inlineStr"/>
      <c r="F31" s="8" t="inlineStr"/>
      <c r="G31" s="8" t="inlineStr"/>
      <c r="H31" s="8" t="inlineStr"/>
      <c r="I31" s="8" t="inlineStr"/>
      <c r="J31" s="8" t="inlineStr">
        <is>
          <t>414</t>
        </is>
      </c>
      <c r="K31" s="8" t="inlineStr">
        <is>
          <t>198</t>
        </is>
      </c>
      <c r="L31" s="8" t="inlineStr">
        <is>
          <t>1</t>
        </is>
      </c>
      <c r="M31" s="8" t="inlineStr"/>
    </row>
    <row r="32">
      <c r="A32" s="8" t="inlineStr">
        <is>
          <t>TORRAS_I_BAGES</t>
        </is>
      </c>
      <c r="B32" s="8" t="inlineStr">
        <is>
          <t>Torras i Bages</t>
        </is>
      </c>
      <c r="C32" s="8" t="inlineStr">
        <is>
          <t>L1</t>
        </is>
      </c>
      <c r="D32" s="8" t="inlineStr">
        <is>
          <t>ANGER</t>
        </is>
      </c>
      <c r="E32" s="8" t="inlineStr"/>
      <c r="F32" s="8" t="inlineStr"/>
      <c r="G32" s="8" t="inlineStr"/>
      <c r="H32" s="8" t="inlineStr"/>
      <c r="I32" s="8" t="inlineStr"/>
      <c r="J32" s="8" t="inlineStr">
        <is>
          <t>468</t>
        </is>
      </c>
      <c r="K32" s="8" t="inlineStr">
        <is>
          <t>198</t>
        </is>
      </c>
      <c r="L32" s="8" t="inlineStr">
        <is>
          <t>1</t>
        </is>
      </c>
      <c r="M32" s="8" t="inlineStr"/>
    </row>
    <row r="33">
      <c r="A33" s="8" t="inlineStr">
        <is>
          <t>CONGRES</t>
        </is>
      </c>
      <c r="B33" s="8" t="inlineStr">
        <is>
          <t>Congrés</t>
        </is>
      </c>
      <c r="C33" s="8" t="inlineStr">
        <is>
          <t>L5</t>
        </is>
      </c>
      <c r="D33" s="8" t="inlineStr">
        <is>
          <t>SADNESS</t>
        </is>
      </c>
      <c r="E33" s="8" t="inlineStr"/>
      <c r="F33" s="8" t="inlineStr"/>
      <c r="G33" s="8" t="inlineStr"/>
      <c r="H33" s="8" t="inlineStr"/>
      <c r="I33" s="8" t="inlineStr"/>
      <c r="J33" s="8" t="inlineStr">
        <is>
          <t>432</t>
        </is>
      </c>
      <c r="K33" s="8" t="inlineStr">
        <is>
          <t>210</t>
        </is>
      </c>
      <c r="L33" s="8" t="inlineStr">
        <is>
          <t>1</t>
        </is>
      </c>
      <c r="M33" s="8" t="inlineStr"/>
    </row>
    <row r="34">
      <c r="A34" s="8" t="inlineStr">
        <is>
          <t>SANT_GERVASI</t>
        </is>
      </c>
      <c r="B34" s="8" t="inlineStr">
        <is>
          <t>Sant Gervasi</t>
        </is>
      </c>
      <c r="C34" s="8" t="inlineStr">
        <is>
          <t>L6</t>
        </is>
      </c>
      <c r="D34" s="8" t="inlineStr">
        <is>
          <t>FEAR</t>
        </is>
      </c>
      <c r="E34" s="8" t="inlineStr"/>
      <c r="F34" s="8" t="inlineStr"/>
      <c r="G34" s="8" t="inlineStr"/>
      <c r="H34" s="8" t="inlineStr"/>
      <c r="I34" s="8" t="inlineStr"/>
      <c r="J34" s="8" t="inlineStr">
        <is>
          <t>258</t>
        </is>
      </c>
      <c r="K34" s="8" t="inlineStr">
        <is>
          <t>216</t>
        </is>
      </c>
      <c r="L34" s="8" t="inlineStr">
        <is>
          <t>1</t>
        </is>
      </c>
      <c r="M34" s="8" t="inlineStr"/>
    </row>
    <row r="35">
      <c r="A35" s="8" t="inlineStr">
        <is>
          <t>FONTANA</t>
        </is>
      </c>
      <c r="B35" s="8" t="inlineStr">
        <is>
          <t>Fontana</t>
        </is>
      </c>
      <c r="C35" s="8" t="inlineStr">
        <is>
          <t>L3</t>
        </is>
      </c>
      <c r="D35" s="8" t="inlineStr">
        <is>
          <t>DISGUST</t>
        </is>
      </c>
      <c r="E35" s="8" t="inlineStr"/>
      <c r="F35" s="8" t="inlineStr"/>
      <c r="G35" s="8" t="inlineStr"/>
      <c r="H35" s="8" t="inlineStr"/>
      <c r="I35" s="8" t="inlineStr"/>
      <c r="J35" s="8" t="inlineStr">
        <is>
          <t>306</t>
        </is>
      </c>
      <c r="K35" s="8" t="inlineStr">
        <is>
          <t>216</t>
        </is>
      </c>
      <c r="L35" s="8" t="inlineStr">
        <is>
          <t>1</t>
        </is>
      </c>
      <c r="M35" s="8" t="inlineStr"/>
    </row>
    <row r="36">
      <c r="A36" s="8" t="inlineStr">
        <is>
          <t>ALFONS_X</t>
        </is>
      </c>
      <c r="B36" s="8" t="inlineStr">
        <is>
          <t>Alfons X</t>
        </is>
      </c>
      <c r="C36" s="8" t="inlineStr">
        <is>
          <t>L4</t>
        </is>
      </c>
      <c r="D36" s="8" t="inlineStr">
        <is>
          <t>JOY</t>
        </is>
      </c>
      <c r="E36" s="8" t="inlineStr"/>
      <c r="F36" s="8" t="inlineStr"/>
      <c r="G36" s="8" t="inlineStr"/>
      <c r="H36" s="8" t="inlineStr"/>
      <c r="I36" s="8" t="inlineStr"/>
      <c r="J36" s="8" t="inlineStr">
        <is>
          <t>396</t>
        </is>
      </c>
      <c r="K36" s="8" t="inlineStr">
        <is>
          <t>216</t>
        </is>
      </c>
      <c r="L36" s="8" t="inlineStr">
        <is>
          <t>1</t>
        </is>
      </c>
      <c r="M36" s="8" t="inlineStr"/>
    </row>
    <row r="37">
      <c r="A37" s="8" t="inlineStr">
        <is>
          <t>SANT_ANDREU</t>
        </is>
      </c>
      <c r="B37" s="8" t="inlineStr">
        <is>
          <t>Sant Andreu</t>
        </is>
      </c>
      <c r="C37" s="8" t="inlineStr">
        <is>
          <t>L1</t>
        </is>
      </c>
      <c r="D37" s="8" t="inlineStr">
        <is>
          <t>ANGER</t>
        </is>
      </c>
      <c r="E37" s="8" t="inlineStr"/>
      <c r="F37" s="8" t="inlineStr"/>
      <c r="G37" s="8" t="inlineStr"/>
      <c r="H37" s="8" t="inlineStr"/>
      <c r="I37" s="8" t="inlineStr"/>
      <c r="J37" s="8" t="inlineStr">
        <is>
          <t>450</t>
        </is>
      </c>
      <c r="K37" s="8" t="inlineStr">
        <is>
          <t>216</t>
        </is>
      </c>
      <c r="L37" s="8" t="inlineStr">
        <is>
          <t>1</t>
        </is>
      </c>
      <c r="M37" s="8" t="inlineStr"/>
    </row>
    <row r="38">
      <c r="A38" s="8" t="inlineStr">
        <is>
          <t>ZONA_UNIVERSITARIA</t>
        </is>
      </c>
      <c r="B38" s="8" t="inlineStr">
        <is>
          <t>Zona Universitària</t>
        </is>
      </c>
      <c r="C38" s="8" t="inlineStr">
        <is>
          <t>L3</t>
        </is>
      </c>
      <c r="D38" s="8" t="inlineStr">
        <is>
          <t>DISGUST</t>
        </is>
      </c>
      <c r="E38" s="8" t="inlineStr"/>
      <c r="F38" s="8" t="inlineStr"/>
      <c r="G38" s="8" t="inlineStr"/>
      <c r="H38" s="8" t="inlineStr"/>
      <c r="I38" s="8" t="inlineStr"/>
      <c r="J38" s="8" t="inlineStr">
        <is>
          <t>72</t>
        </is>
      </c>
      <c r="K38" s="8" t="inlineStr">
        <is>
          <t>234</t>
        </is>
      </c>
      <c r="L38" s="8" t="inlineStr">
        <is>
          <t>1</t>
        </is>
      </c>
      <c r="M38" s="8" t="inlineStr"/>
    </row>
    <row r="39">
      <c r="A39" s="8" t="inlineStr">
        <is>
          <t>PALAU_REIAL</t>
        </is>
      </c>
      <c r="B39" s="8" t="inlineStr">
        <is>
          <t>Palau Reial</t>
        </is>
      </c>
      <c r="C39" s="8" t="inlineStr">
        <is>
          <t>L3</t>
        </is>
      </c>
      <c r="D39" s="8" t="inlineStr">
        <is>
          <t>DISGUST</t>
        </is>
      </c>
      <c r="E39" s="8" t="inlineStr"/>
      <c r="F39" s="8" t="inlineStr"/>
      <c r="G39" s="8" t="inlineStr"/>
      <c r="H39" s="8" t="inlineStr"/>
      <c r="I39" s="8" t="inlineStr"/>
      <c r="J39" s="8" t="inlineStr">
        <is>
          <t>90</t>
        </is>
      </c>
      <c r="K39" s="8" t="inlineStr">
        <is>
          <t>234</t>
        </is>
      </c>
      <c r="L39" s="8" t="inlineStr">
        <is>
          <t>1</t>
        </is>
      </c>
      <c r="M39" s="8" t="inlineStr"/>
    </row>
    <row r="40">
      <c r="A40" s="8" t="inlineStr">
        <is>
          <t>MARIA_CRISTINA</t>
        </is>
      </c>
      <c r="B40" s="8" t="inlineStr">
        <is>
          <t>Maria Cristina</t>
        </is>
      </c>
      <c r="C40" s="8" t="inlineStr">
        <is>
          <t>L3</t>
        </is>
      </c>
      <c r="D40" s="8" t="inlineStr">
        <is>
          <t>DISGUST</t>
        </is>
      </c>
      <c r="E40" s="8" t="inlineStr"/>
      <c r="F40" s="8" t="inlineStr"/>
      <c r="G40" s="8" t="inlineStr"/>
      <c r="H40" s="8" t="inlineStr"/>
      <c r="I40" s="8" t="inlineStr"/>
      <c r="J40" s="8" t="inlineStr">
        <is>
          <t>108</t>
        </is>
      </c>
      <c r="K40" s="8" t="inlineStr">
        <is>
          <t>234</t>
        </is>
      </c>
      <c r="L40" s="8" t="inlineStr">
        <is>
          <t>1</t>
        </is>
      </c>
      <c r="M40" s="8" t="inlineStr"/>
    </row>
    <row r="41">
      <c r="A41" s="8" t="inlineStr">
        <is>
          <t>GRACIA</t>
        </is>
      </c>
      <c r="B41" s="8" t="inlineStr">
        <is>
          <t>Gràcia</t>
        </is>
      </c>
      <c r="C41" s="8" t="inlineStr">
        <is>
          <t>L6</t>
        </is>
      </c>
      <c r="D41" s="8" t="inlineStr">
        <is>
          <t>FEAR</t>
        </is>
      </c>
      <c r="E41" s="8" t="inlineStr"/>
      <c r="F41" s="8" t="inlineStr"/>
      <c r="G41" s="8" t="inlineStr"/>
      <c r="H41" s="8" t="inlineStr"/>
      <c r="I41" s="8" t="inlineStr"/>
      <c r="J41" s="8" t="inlineStr">
        <is>
          <t>276</t>
        </is>
      </c>
      <c r="K41" s="8" t="inlineStr">
        <is>
          <t>234</t>
        </is>
      </c>
      <c r="L41" s="8" t="inlineStr">
        <is>
          <t>1</t>
        </is>
      </c>
      <c r="M41" s="8" t="inlineStr"/>
    </row>
    <row r="42">
      <c r="A42" s="8" t="inlineStr">
        <is>
          <t>DIAGONAL</t>
        </is>
      </c>
      <c r="B42" s="8" t="inlineStr">
        <is>
          <t>Diagonal</t>
        </is>
      </c>
      <c r="C42" s="8" t="inlineStr">
        <is>
          <t>L3|L5</t>
        </is>
      </c>
      <c r="D42" s="8" t="inlineStr">
        <is>
          <t>DISGUST|SADNESS</t>
        </is>
      </c>
      <c r="E42" s="8" t="inlineStr"/>
      <c r="F42" s="8" t="inlineStr"/>
      <c r="G42" s="8" t="inlineStr"/>
      <c r="H42" s="8" t="inlineStr"/>
      <c r="I42" s="8" t="inlineStr"/>
      <c r="J42" s="8" t="inlineStr">
        <is>
          <t>306</t>
        </is>
      </c>
      <c r="K42" s="8" t="inlineStr">
        <is>
          <t>234</t>
        </is>
      </c>
      <c r="L42" s="8" t="inlineStr">
        <is>
          <t>1</t>
        </is>
      </c>
      <c r="M42" s="8" t="inlineStr"/>
    </row>
    <row r="43">
      <c r="A43" s="8" t="inlineStr">
        <is>
          <t>JOANIC</t>
        </is>
      </c>
      <c r="B43" s="8" t="inlineStr">
        <is>
          <t>Joanic</t>
        </is>
      </c>
      <c r="C43" s="8" t="inlineStr">
        <is>
          <t>L4</t>
        </is>
      </c>
      <c r="D43" s="8" t="inlineStr">
        <is>
          <t>JOY</t>
        </is>
      </c>
      <c r="E43" s="8" t="inlineStr"/>
      <c r="F43" s="8" t="inlineStr"/>
      <c r="G43" s="8" t="inlineStr"/>
      <c r="H43" s="8" t="inlineStr"/>
      <c r="I43" s="8" t="inlineStr"/>
      <c r="J43" s="8" t="inlineStr">
        <is>
          <t>378</t>
        </is>
      </c>
      <c r="K43" s="8" t="inlineStr">
        <is>
          <t>234</t>
        </is>
      </c>
      <c r="L43" s="8" t="inlineStr">
        <is>
          <t>1</t>
        </is>
      </c>
      <c r="M43" s="8" t="inlineStr"/>
    </row>
    <row r="44">
      <c r="A44" s="8" t="inlineStr">
        <is>
          <t>FABRA_I_PUIG</t>
        </is>
      </c>
      <c r="B44" s="8" t="inlineStr">
        <is>
          <t>Fabra i Puig</t>
        </is>
      </c>
      <c r="C44" s="8" t="inlineStr">
        <is>
          <t>L1</t>
        </is>
      </c>
      <c r="D44" s="8" t="inlineStr">
        <is>
          <t>ANGER</t>
        </is>
      </c>
      <c r="E44" s="8" t="inlineStr"/>
      <c r="F44" s="8" t="inlineStr"/>
      <c r="G44" s="8" t="inlineStr"/>
      <c r="H44" s="8" t="inlineStr"/>
      <c r="I44" s="8" t="inlineStr"/>
      <c r="J44" s="8" t="inlineStr">
        <is>
          <t>432</t>
        </is>
      </c>
      <c r="K44" s="8" t="inlineStr">
        <is>
          <t>234</t>
        </is>
      </c>
      <c r="L44" s="8" t="inlineStr">
        <is>
          <t>1</t>
        </is>
      </c>
      <c r="M44" s="8" t="inlineStr"/>
    </row>
    <row r="45">
      <c r="A45" s="8" t="inlineStr">
        <is>
          <t>LES_CORTS</t>
        </is>
      </c>
      <c r="B45" s="8" t="inlineStr">
        <is>
          <t>Les Corts</t>
        </is>
      </c>
      <c r="C45" s="8" t="inlineStr">
        <is>
          <t>L3</t>
        </is>
      </c>
      <c r="D45" s="8" t="inlineStr">
        <is>
          <t>DISGUST</t>
        </is>
      </c>
      <c r="E45" s="8" t="inlineStr"/>
      <c r="F45" s="8" t="inlineStr"/>
      <c r="G45" s="8" t="inlineStr"/>
      <c r="H45" s="8" t="inlineStr"/>
      <c r="I45" s="8" t="inlineStr"/>
      <c r="J45" s="8" t="inlineStr">
        <is>
          <t>126</t>
        </is>
      </c>
      <c r="K45" s="8" t="inlineStr">
        <is>
          <t>252</t>
        </is>
      </c>
      <c r="L45" s="8" t="inlineStr">
        <is>
          <t>1</t>
        </is>
      </c>
      <c r="M45" s="8" t="inlineStr"/>
    </row>
    <row r="46">
      <c r="A46" s="8" t="inlineStr">
        <is>
          <t>PLACA_DEL_CENTRE</t>
        </is>
      </c>
      <c r="B46" s="8" t="inlineStr">
        <is>
          <t>Plaça del Centre</t>
        </is>
      </c>
      <c r="C46" s="8" t="inlineStr">
        <is>
          <t>L3</t>
        </is>
      </c>
      <c r="D46" s="8" t="inlineStr">
        <is>
          <t>DISGUST</t>
        </is>
      </c>
      <c r="E46" s="8" t="inlineStr"/>
      <c r="F46" s="8" t="inlineStr"/>
      <c r="G46" s="8" t="inlineStr"/>
      <c r="H46" s="8" t="inlineStr"/>
      <c r="I46" s="8" t="inlineStr"/>
      <c r="J46" s="8" t="inlineStr">
        <is>
          <t>144</t>
        </is>
      </c>
      <c r="K46" s="8" t="inlineStr">
        <is>
          <t>252</t>
        </is>
      </c>
      <c r="L46" s="8" t="inlineStr">
        <is>
          <t>1</t>
        </is>
      </c>
      <c r="M46" s="8" t="inlineStr"/>
    </row>
    <row r="47">
      <c r="A47" s="8" t="inlineStr">
        <is>
          <t>ENTENCA</t>
        </is>
      </c>
      <c r="B47" s="8" t="inlineStr">
        <is>
          <t>Entença</t>
        </is>
      </c>
      <c r="C47" s="8" t="inlineStr">
        <is>
          <t>L5</t>
        </is>
      </c>
      <c r="D47" s="8" t="inlineStr">
        <is>
          <t>SADNESS</t>
        </is>
      </c>
      <c r="E47" s="8" t="inlineStr"/>
      <c r="F47" s="8" t="inlineStr"/>
      <c r="G47" s="8" t="inlineStr"/>
      <c r="H47" s="8" t="inlineStr"/>
      <c r="I47" s="8" t="inlineStr"/>
      <c r="J47" s="8" t="inlineStr">
        <is>
          <t>216</t>
        </is>
      </c>
      <c r="K47" s="8" t="inlineStr">
        <is>
          <t>252</t>
        </is>
      </c>
      <c r="L47" s="8" t="inlineStr">
        <is>
          <t>1</t>
        </is>
      </c>
      <c r="M47" s="8" t="inlineStr"/>
    </row>
    <row r="48">
      <c r="A48" s="8" t="inlineStr">
        <is>
          <t>HOSPITAL_CLINIC</t>
        </is>
      </c>
      <c r="B48" s="8" t="inlineStr">
        <is>
          <t>Hospital Clínic</t>
        </is>
      </c>
      <c r="C48" s="8" t="inlineStr">
        <is>
          <t>L5</t>
        </is>
      </c>
      <c r="D48" s="8" t="inlineStr">
        <is>
          <t>SADNESS</t>
        </is>
      </c>
      <c r="E48" s="8" t="inlineStr"/>
      <c r="F48" s="8" t="inlineStr"/>
      <c r="G48" s="8" t="inlineStr"/>
      <c r="H48" s="8" t="inlineStr"/>
      <c r="I48" s="8" t="inlineStr"/>
      <c r="J48" s="8" t="inlineStr">
        <is>
          <t>252</t>
        </is>
      </c>
      <c r="K48" s="8" t="inlineStr">
        <is>
          <t>252</t>
        </is>
      </c>
      <c r="L48" s="8" t="inlineStr">
        <is>
          <t>1</t>
        </is>
      </c>
      <c r="M48" s="8" t="inlineStr"/>
    </row>
    <row r="49">
      <c r="A49" s="8" t="inlineStr">
        <is>
          <t>PROVENCA</t>
        </is>
      </c>
      <c r="B49" s="8" t="inlineStr">
        <is>
          <t>Provença</t>
        </is>
      </c>
      <c r="C49" s="8" t="inlineStr">
        <is>
          <t>L6</t>
        </is>
      </c>
      <c r="D49" s="8" t="inlineStr">
        <is>
          <t>FEAR</t>
        </is>
      </c>
      <c r="E49" s="8" t="inlineStr"/>
      <c r="F49" s="8" t="inlineStr"/>
      <c r="G49" s="8" t="inlineStr"/>
      <c r="H49" s="8" t="inlineStr"/>
      <c r="I49" s="8" t="inlineStr"/>
      <c r="J49" s="8" t="inlineStr">
        <is>
          <t>288</t>
        </is>
      </c>
      <c r="K49" s="8" t="inlineStr">
        <is>
          <t>252</t>
        </is>
      </c>
      <c r="L49" s="8" t="inlineStr">
        <is>
          <t>1</t>
        </is>
      </c>
      <c r="M49" s="8" t="inlineStr"/>
    </row>
    <row r="50">
      <c r="A50" s="8" t="inlineStr">
        <is>
          <t>GIRONA</t>
        </is>
      </c>
      <c r="B50" s="8" t="inlineStr">
        <is>
          <t>Girona</t>
        </is>
      </c>
      <c r="C50" s="8" t="inlineStr">
        <is>
          <t>L4</t>
        </is>
      </c>
      <c r="D50" s="8" t="inlineStr">
        <is>
          <t>JOY</t>
        </is>
      </c>
      <c r="E50" s="8" t="inlineStr"/>
      <c r="F50" s="8" t="inlineStr"/>
      <c r="G50" s="8" t="inlineStr"/>
      <c r="H50" s="8" t="inlineStr"/>
      <c r="I50" s="8" t="inlineStr"/>
      <c r="J50" s="8" t="inlineStr">
        <is>
          <t>330</t>
        </is>
      </c>
      <c r="K50" s="8" t="inlineStr">
        <is>
          <t>252</t>
        </is>
      </c>
      <c r="L50" s="8" t="inlineStr">
        <is>
          <t>1</t>
        </is>
      </c>
      <c r="M50" s="8" t="inlineStr"/>
    </row>
    <row r="51">
      <c r="A51" s="8" t="inlineStr">
        <is>
          <t>VERDAGUER</t>
        </is>
      </c>
      <c r="B51" s="8" t="inlineStr">
        <is>
          <t>Verdaguer</t>
        </is>
      </c>
      <c r="C51" s="8" t="inlineStr">
        <is>
          <t>L4|L5</t>
        </is>
      </c>
      <c r="D51" s="8" t="inlineStr">
        <is>
          <t>JOY|SADNESS</t>
        </is>
      </c>
      <c r="E51" s="8" t="inlineStr"/>
      <c r="F51" s="8" t="inlineStr"/>
      <c r="G51" s="8" t="inlineStr"/>
      <c r="H51" s="8" t="inlineStr"/>
      <c r="I51" s="8" t="inlineStr"/>
      <c r="J51" s="8" t="inlineStr">
        <is>
          <t>360</t>
        </is>
      </c>
      <c r="K51" s="8" t="inlineStr">
        <is>
          <t>252</t>
        </is>
      </c>
      <c r="L51" s="8" t="inlineStr">
        <is>
          <t>1</t>
        </is>
      </c>
      <c r="M51" s="8" t="inlineStr"/>
    </row>
    <row r="52">
      <c r="A52" s="8" t="inlineStr">
        <is>
          <t>SANT_PAU_DOS_DE_MAIG</t>
        </is>
      </c>
      <c r="B52" s="8" t="inlineStr">
        <is>
          <t>Sant Pau | Dos de Maig</t>
        </is>
      </c>
      <c r="C52" s="8" t="inlineStr">
        <is>
          <t>L5</t>
        </is>
      </c>
      <c r="D52" s="8" t="inlineStr">
        <is>
          <t>SADNESS</t>
        </is>
      </c>
      <c r="E52" s="8" t="inlineStr"/>
      <c r="F52" s="8" t="inlineStr"/>
      <c r="G52" s="8" t="inlineStr"/>
      <c r="H52" s="8" t="inlineStr"/>
      <c r="I52" s="8" t="inlineStr"/>
      <c r="J52" s="8" t="inlineStr">
        <is>
          <t>378</t>
        </is>
      </c>
      <c r="K52" s="8" t="inlineStr">
        <is>
          <t>252</t>
        </is>
      </c>
      <c r="L52" s="8" t="inlineStr">
        <is>
          <t>1</t>
        </is>
      </c>
      <c r="M52" s="8" t="inlineStr"/>
    </row>
    <row r="53">
      <c r="A53" s="8" t="inlineStr">
        <is>
          <t>CAMP_DE_L_ARPA</t>
        </is>
      </c>
      <c r="B53" s="8" t="inlineStr">
        <is>
          <t>Camp de l'Arpa</t>
        </is>
      </c>
      <c r="C53" s="8" t="inlineStr">
        <is>
          <t>L5</t>
        </is>
      </c>
      <c r="D53" s="8" t="inlineStr">
        <is>
          <t>SADNESS</t>
        </is>
      </c>
      <c r="E53" s="8" t="inlineStr"/>
      <c r="F53" s="8" t="inlineStr"/>
      <c r="G53" s="8" t="inlineStr"/>
      <c r="H53" s="8" t="inlineStr"/>
      <c r="I53" s="8" t="inlineStr"/>
      <c r="J53" s="8" t="inlineStr">
        <is>
          <t>396</t>
        </is>
      </c>
      <c r="K53" s="8" t="inlineStr">
        <is>
          <t>252</t>
        </is>
      </c>
      <c r="L53" s="8" t="inlineStr">
        <is>
          <t>1</t>
        </is>
      </c>
      <c r="M53" s="8" t="inlineStr"/>
    </row>
    <row r="54">
      <c r="A54" s="8" t="inlineStr">
        <is>
          <t>LA_SAGRERA</t>
        </is>
      </c>
      <c r="B54" s="8" t="inlineStr">
        <is>
          <t>La Sagrera</t>
        </is>
      </c>
      <c r="C54" s="8" t="inlineStr">
        <is>
          <t>L1|L5</t>
        </is>
      </c>
      <c r="D54" s="8" t="inlineStr">
        <is>
          <t>ANGER|SADNESS</t>
        </is>
      </c>
      <c r="E54" s="8" t="inlineStr"/>
      <c r="F54" s="8" t="inlineStr"/>
      <c r="G54" s="8" t="inlineStr"/>
      <c r="H54" s="8" t="inlineStr"/>
      <c r="I54" s="8" t="inlineStr"/>
      <c r="J54" s="8" t="inlineStr">
        <is>
          <t>414</t>
        </is>
      </c>
      <c r="K54" s="8" t="inlineStr">
        <is>
          <t>252</t>
        </is>
      </c>
      <c r="L54" s="8" t="inlineStr">
        <is>
          <t>1</t>
        </is>
      </c>
      <c r="M54" s="8" t="inlineStr"/>
    </row>
    <row r="55">
      <c r="A55" s="8" t="inlineStr">
        <is>
          <t>SANTS_ESTACIO</t>
        </is>
      </c>
      <c r="B55" s="8" t="inlineStr">
        <is>
          <t>Sants Estació</t>
        </is>
      </c>
      <c r="C55" s="8" t="inlineStr">
        <is>
          <t>L3|L5</t>
        </is>
      </c>
      <c r="D55" s="8" t="inlineStr">
        <is>
          <t>DISGUST|SADNESS</t>
        </is>
      </c>
      <c r="E55" s="8" t="inlineStr"/>
      <c r="F55" s="8" t="inlineStr"/>
      <c r="G55" s="8" t="inlineStr"/>
      <c r="H55" s="8" t="inlineStr"/>
      <c r="I55" s="8" t="inlineStr"/>
      <c r="J55" s="8" t="inlineStr">
        <is>
          <t>180</t>
        </is>
      </c>
      <c r="K55" s="8" t="inlineStr">
        <is>
          <t>270</t>
        </is>
      </c>
      <c r="L55" s="8" t="inlineStr">
        <is>
          <t>1</t>
        </is>
      </c>
      <c r="M55" s="8" t="inlineStr"/>
    </row>
    <row r="56">
      <c r="A56" s="8" t="inlineStr">
        <is>
          <t>PASSEIG_DE_GRACIA</t>
        </is>
      </c>
      <c r="B56" s="8" t="inlineStr">
        <is>
          <t>Passeig de Gràcia</t>
        </is>
      </c>
      <c r="C56" s="8" t="inlineStr">
        <is>
          <t>L2|L3|L4</t>
        </is>
      </c>
      <c r="D56" s="8" t="inlineStr">
        <is>
          <t>SURPRISE|DISGUST|JOY</t>
        </is>
      </c>
      <c r="E56" s="8" t="inlineStr"/>
      <c r="F56" s="8" t="inlineStr"/>
      <c r="G56" s="8" t="inlineStr"/>
      <c r="H56" s="8" t="inlineStr"/>
      <c r="I56" s="8" t="inlineStr"/>
      <c r="J56" s="8" t="inlineStr">
        <is>
          <t>306</t>
        </is>
      </c>
      <c r="K56" s="8" t="inlineStr">
        <is>
          <t>270</t>
        </is>
      </c>
      <c r="L56" s="8" t="inlineStr">
        <is>
          <t>1</t>
        </is>
      </c>
      <c r="M56" s="8" t="inlineStr"/>
    </row>
    <row r="57">
      <c r="A57" s="8" t="inlineStr">
        <is>
          <t>TETUAN</t>
        </is>
      </c>
      <c r="B57" s="8" t="inlineStr">
        <is>
          <t>Tetuan</t>
        </is>
      </c>
      <c r="C57" s="8" t="inlineStr">
        <is>
          <t>L2</t>
        </is>
      </c>
      <c r="D57" s="8" t="inlineStr">
        <is>
          <t>SURPRISE</t>
        </is>
      </c>
      <c r="E57" s="8" t="inlineStr"/>
      <c r="F57" s="8" t="inlineStr"/>
      <c r="G57" s="8" t="inlineStr"/>
      <c r="H57" s="8" t="inlineStr"/>
      <c r="I57" s="8" t="inlineStr"/>
      <c r="J57" s="8" t="inlineStr">
        <is>
          <t>324</t>
        </is>
      </c>
      <c r="K57" s="8" t="inlineStr">
        <is>
          <t>270</t>
        </is>
      </c>
      <c r="L57" s="8" t="inlineStr">
        <is>
          <t>1</t>
        </is>
      </c>
      <c r="M57" s="8" t="inlineStr"/>
    </row>
    <row r="58">
      <c r="A58" s="8" t="inlineStr">
        <is>
          <t>MONUMENTAL</t>
        </is>
      </c>
      <c r="B58" s="8" t="inlineStr">
        <is>
          <t>Monumental</t>
        </is>
      </c>
      <c r="C58" s="8" t="inlineStr">
        <is>
          <t>L2</t>
        </is>
      </c>
      <c r="D58" s="8" t="inlineStr">
        <is>
          <t>SURPRISE</t>
        </is>
      </c>
      <c r="E58" s="8" t="inlineStr"/>
      <c r="F58" s="8" t="inlineStr"/>
      <c r="G58" s="8" t="inlineStr"/>
      <c r="H58" s="8" t="inlineStr"/>
      <c r="I58" s="8" t="inlineStr"/>
      <c r="J58" s="8" t="inlineStr">
        <is>
          <t>342</t>
        </is>
      </c>
      <c r="K58" s="8" t="inlineStr">
        <is>
          <t>270</t>
        </is>
      </c>
      <c r="L58" s="8" t="inlineStr">
        <is>
          <t>1</t>
        </is>
      </c>
      <c r="M58" s="8" t="inlineStr"/>
    </row>
    <row r="59">
      <c r="A59" s="8" t="inlineStr">
        <is>
          <t>SAGRADA_FAMILIA</t>
        </is>
      </c>
      <c r="B59" s="8" t="inlineStr">
        <is>
          <t>Sagrada Família</t>
        </is>
      </c>
      <c r="C59" s="8" t="inlineStr">
        <is>
          <t>L2|L5</t>
        </is>
      </c>
      <c r="D59" s="8" t="inlineStr">
        <is>
          <t>SURPRISE|SADNESS</t>
        </is>
      </c>
      <c r="E59" s="8" t="inlineStr"/>
      <c r="F59" s="8" t="inlineStr"/>
      <c r="G59" s="8" t="inlineStr"/>
      <c r="H59" s="8" t="inlineStr"/>
      <c r="I59" s="8" t="inlineStr"/>
      <c r="J59" s="8" t="inlineStr">
        <is>
          <t>360</t>
        </is>
      </c>
      <c r="K59" s="8" t="inlineStr">
        <is>
          <t>270</t>
        </is>
      </c>
      <c r="L59" s="8" t="inlineStr">
        <is>
          <t>1</t>
        </is>
      </c>
      <c r="M59" s="8" t="inlineStr"/>
    </row>
    <row r="60">
      <c r="A60" s="8" t="inlineStr">
        <is>
          <t>ENCANTS</t>
        </is>
      </c>
      <c r="B60" s="8" t="inlineStr">
        <is>
          <t>Encants</t>
        </is>
      </c>
      <c r="C60" s="8" t="inlineStr">
        <is>
          <t>L2</t>
        </is>
      </c>
      <c r="D60" s="8" t="inlineStr">
        <is>
          <t>SURPRISE</t>
        </is>
      </c>
      <c r="E60" s="8" t="inlineStr"/>
      <c r="F60" s="8" t="inlineStr"/>
      <c r="G60" s="8" t="inlineStr"/>
      <c r="H60" s="8" t="inlineStr"/>
      <c r="I60" s="8" t="inlineStr"/>
      <c r="J60" s="8" t="inlineStr">
        <is>
          <t>378</t>
        </is>
      </c>
      <c r="K60" s="8" t="inlineStr">
        <is>
          <t>270</t>
        </is>
      </c>
      <c r="L60" s="8" t="inlineStr">
        <is>
          <t>1</t>
        </is>
      </c>
      <c r="M60" s="8" t="inlineStr"/>
    </row>
    <row r="61">
      <c r="A61" s="8" t="inlineStr">
        <is>
          <t>NAVAS</t>
        </is>
      </c>
      <c r="B61" s="8" t="inlineStr">
        <is>
          <t>Navas</t>
        </is>
      </c>
      <c r="C61" s="8" t="inlineStr">
        <is>
          <t>L1</t>
        </is>
      </c>
      <c r="D61" s="8" t="inlineStr">
        <is>
          <t>ANGER</t>
        </is>
      </c>
      <c r="E61" s="8" t="inlineStr"/>
      <c r="F61" s="8" t="inlineStr"/>
      <c r="G61" s="8" t="inlineStr"/>
      <c r="H61" s="8" t="inlineStr"/>
      <c r="I61" s="8" t="inlineStr"/>
      <c r="J61" s="8" t="inlineStr">
        <is>
          <t>396</t>
        </is>
      </c>
      <c r="K61" s="8" t="inlineStr">
        <is>
          <t>270</t>
        </is>
      </c>
      <c r="L61" s="8" t="inlineStr">
        <is>
          <t>1</t>
        </is>
      </c>
      <c r="M61" s="8" t="inlineStr"/>
    </row>
    <row r="62">
      <c r="A62" s="8" t="inlineStr">
        <is>
          <t>CORNELLA_CENTRE</t>
        </is>
      </c>
      <c r="B62" s="8" t="inlineStr">
        <is>
          <t>Cornellà Centre</t>
        </is>
      </c>
      <c r="C62" s="8" t="inlineStr">
        <is>
          <t>L5</t>
        </is>
      </c>
      <c r="D62" s="8" t="inlineStr">
        <is>
          <t>SADNESS</t>
        </is>
      </c>
      <c r="E62" s="8" t="inlineStr"/>
      <c r="F62" s="8" t="inlineStr"/>
      <c r="G62" s="8" t="inlineStr"/>
      <c r="H62" s="8" t="inlineStr"/>
      <c r="I62" s="8" t="inlineStr"/>
      <c r="J62" s="8" t="inlineStr">
        <is>
          <t>18</t>
        </is>
      </c>
      <c r="K62" s="8" t="inlineStr">
        <is>
          <t>288</t>
        </is>
      </c>
      <c r="L62" s="8" t="inlineStr">
        <is>
          <t>1</t>
        </is>
      </c>
      <c r="M62" s="8" t="inlineStr"/>
    </row>
    <row r="63">
      <c r="A63" s="8" t="inlineStr">
        <is>
          <t>GAVARRA</t>
        </is>
      </c>
      <c r="B63" s="8" t="inlineStr">
        <is>
          <t>Gavarra</t>
        </is>
      </c>
      <c r="C63" s="8" t="inlineStr">
        <is>
          <t>L5</t>
        </is>
      </c>
      <c r="D63" s="8" t="inlineStr">
        <is>
          <t>SADNESS</t>
        </is>
      </c>
      <c r="E63" s="8" t="inlineStr"/>
      <c r="F63" s="8" t="inlineStr"/>
      <c r="G63" s="8" t="inlineStr"/>
      <c r="H63" s="8" t="inlineStr"/>
      <c r="I63" s="8" t="inlineStr"/>
      <c r="J63" s="8" t="inlineStr">
        <is>
          <t>36</t>
        </is>
      </c>
      <c r="K63" s="8" t="inlineStr">
        <is>
          <t>288</t>
        </is>
      </c>
      <c r="L63" s="8" t="inlineStr">
        <is>
          <t>1</t>
        </is>
      </c>
      <c r="M63" s="8" t="inlineStr"/>
    </row>
    <row r="64">
      <c r="A64" s="8" t="inlineStr">
        <is>
          <t>SANT_ILDEFONS</t>
        </is>
      </c>
      <c r="B64" s="8" t="inlineStr">
        <is>
          <t>Sant Ildefons</t>
        </is>
      </c>
      <c r="C64" s="8" t="inlineStr">
        <is>
          <t>L5</t>
        </is>
      </c>
      <c r="D64" s="8" t="inlineStr">
        <is>
          <t>SADNESS</t>
        </is>
      </c>
      <c r="E64" s="8" t="inlineStr"/>
      <c r="F64" s="8" t="inlineStr"/>
      <c r="G64" s="8" t="inlineStr"/>
      <c r="H64" s="8" t="inlineStr"/>
      <c r="I64" s="8" t="inlineStr"/>
      <c r="J64" s="8" t="inlineStr">
        <is>
          <t>54</t>
        </is>
      </c>
      <c r="K64" s="8" t="inlineStr">
        <is>
          <t>288</t>
        </is>
      </c>
      <c r="L64" s="8" t="inlineStr">
        <is>
          <t>1</t>
        </is>
      </c>
      <c r="M64" s="8" t="inlineStr"/>
    </row>
    <row r="65">
      <c r="A65" s="8" t="inlineStr">
        <is>
          <t>CAN_BOIXERES</t>
        </is>
      </c>
      <c r="B65" s="8" t="inlineStr">
        <is>
          <t>Can Boixeres</t>
        </is>
      </c>
      <c r="C65" s="8" t="inlineStr">
        <is>
          <t>L5</t>
        </is>
      </c>
      <c r="D65" s="8" t="inlineStr">
        <is>
          <t>SADNESS</t>
        </is>
      </c>
      <c r="E65" s="8" t="inlineStr"/>
      <c r="F65" s="8" t="inlineStr"/>
      <c r="G65" s="8" t="inlineStr"/>
      <c r="H65" s="8" t="inlineStr"/>
      <c r="I65" s="8" t="inlineStr"/>
      <c r="J65" s="8" t="inlineStr">
        <is>
          <t>72</t>
        </is>
      </c>
      <c r="K65" s="8" t="inlineStr">
        <is>
          <t>288</t>
        </is>
      </c>
      <c r="L65" s="8" t="inlineStr">
        <is>
          <t>1</t>
        </is>
      </c>
      <c r="M65" s="8" t="inlineStr"/>
    </row>
    <row r="66">
      <c r="A66" s="8" t="inlineStr">
        <is>
          <t>CAN_VIDALET</t>
        </is>
      </c>
      <c r="B66" s="8" t="inlineStr">
        <is>
          <t>Can Vidalet</t>
        </is>
      </c>
      <c r="C66" s="8" t="inlineStr">
        <is>
          <t>L5</t>
        </is>
      </c>
      <c r="D66" s="8" t="inlineStr">
        <is>
          <t>SADNESS</t>
        </is>
      </c>
      <c r="E66" s="8" t="inlineStr"/>
      <c r="F66" s="8" t="inlineStr"/>
      <c r="G66" s="8" t="inlineStr"/>
      <c r="H66" s="8" t="inlineStr"/>
      <c r="I66" s="8" t="inlineStr"/>
      <c r="J66" s="8" t="inlineStr">
        <is>
          <t>90</t>
        </is>
      </c>
      <c r="K66" s="8" t="inlineStr">
        <is>
          <t>288</t>
        </is>
      </c>
      <c r="L66" s="8" t="inlineStr">
        <is>
          <t>1</t>
        </is>
      </c>
      <c r="M66" s="8" t="inlineStr"/>
    </row>
    <row r="67">
      <c r="A67" s="8" t="inlineStr">
        <is>
          <t>PUBILLA_CASES</t>
        </is>
      </c>
      <c r="B67" s="8" t="inlineStr">
        <is>
          <t>Pubilla Cases</t>
        </is>
      </c>
      <c r="C67" s="8" t="inlineStr">
        <is>
          <t>L5</t>
        </is>
      </c>
      <c r="D67" s="8" t="inlineStr">
        <is>
          <t>SADNESS</t>
        </is>
      </c>
      <c r="E67" s="8" t="inlineStr"/>
      <c r="F67" s="8" t="inlineStr"/>
      <c r="G67" s="8" t="inlineStr"/>
      <c r="H67" s="8" t="inlineStr"/>
      <c r="I67" s="8" t="inlineStr"/>
      <c r="J67" s="8" t="inlineStr">
        <is>
          <t>108</t>
        </is>
      </c>
      <c r="K67" s="8" t="inlineStr">
        <is>
          <t>288</t>
        </is>
      </c>
      <c r="L67" s="8" t="inlineStr">
        <is>
          <t>1</t>
        </is>
      </c>
      <c r="M67" s="8" t="inlineStr"/>
    </row>
    <row r="68">
      <c r="A68" s="8" t="inlineStr">
        <is>
          <t>COLLBLANC</t>
        </is>
      </c>
      <c r="B68" s="8" t="inlineStr">
        <is>
          <t>Collblanc</t>
        </is>
      </c>
      <c r="C68" s="8" t="inlineStr">
        <is>
          <t>L5</t>
        </is>
      </c>
      <c r="D68" s="8" t="inlineStr">
        <is>
          <t>SADNESS</t>
        </is>
      </c>
      <c r="E68" s="8" t="inlineStr"/>
      <c r="F68" s="8" t="inlineStr"/>
      <c r="G68" s="8" t="inlineStr"/>
      <c r="H68" s="8" t="inlineStr"/>
      <c r="I68" s="8" t="inlineStr"/>
      <c r="J68" s="8" t="inlineStr">
        <is>
          <t>126</t>
        </is>
      </c>
      <c r="K68" s="8" t="inlineStr">
        <is>
          <t>288</t>
        </is>
      </c>
      <c r="L68" s="8" t="inlineStr">
        <is>
          <t>1</t>
        </is>
      </c>
      <c r="M68" s="8" t="inlineStr"/>
    </row>
    <row r="69">
      <c r="A69" s="8" t="inlineStr">
        <is>
          <t>BADAL</t>
        </is>
      </c>
      <c r="B69" s="8" t="inlineStr">
        <is>
          <t>Badal</t>
        </is>
      </c>
      <c r="C69" s="8" t="inlineStr">
        <is>
          <t>L5</t>
        </is>
      </c>
      <c r="D69" s="8" t="inlineStr">
        <is>
          <t>SADNESS</t>
        </is>
      </c>
      <c r="E69" s="8" t="inlineStr"/>
      <c r="F69" s="8" t="inlineStr"/>
      <c r="G69" s="8" t="inlineStr"/>
      <c r="H69" s="8" t="inlineStr"/>
      <c r="I69" s="8" t="inlineStr"/>
      <c r="J69" s="8" t="inlineStr">
        <is>
          <t>162</t>
        </is>
      </c>
      <c r="K69" s="8" t="inlineStr">
        <is>
          <t>288</t>
        </is>
      </c>
      <c r="L69" s="8" t="inlineStr">
        <is>
          <t>1</t>
        </is>
      </c>
      <c r="M69" s="8" t="inlineStr"/>
    </row>
    <row r="70">
      <c r="A70" s="8" t="inlineStr">
        <is>
          <t>PLACA_DE_SANTS</t>
        </is>
      </c>
      <c r="B70" s="8" t="inlineStr">
        <is>
          <t>Plaça de Sants</t>
        </is>
      </c>
      <c r="C70" s="8" t="inlineStr">
        <is>
          <t>L1|L5</t>
        </is>
      </c>
      <c r="D70" s="8" t="inlineStr">
        <is>
          <t>ANGER|SADNESS</t>
        </is>
      </c>
      <c r="E70" s="8" t="inlineStr"/>
      <c r="F70" s="8" t="inlineStr"/>
      <c r="G70" s="8" t="inlineStr"/>
      <c r="H70" s="8" t="inlineStr"/>
      <c r="I70" s="8" t="inlineStr"/>
      <c r="J70" s="8" t="inlineStr">
        <is>
          <t>180</t>
        </is>
      </c>
      <c r="K70" s="8" t="inlineStr">
        <is>
          <t>288</t>
        </is>
      </c>
      <c r="L70" s="8" t="inlineStr">
        <is>
          <t>1</t>
        </is>
      </c>
      <c r="M70" s="8" t="inlineStr"/>
    </row>
    <row r="71">
      <c r="A71" s="8" t="inlineStr">
        <is>
          <t>HOSTAFRANCS</t>
        </is>
      </c>
      <c r="B71" s="8" t="inlineStr">
        <is>
          <t>Hostafrancs</t>
        </is>
      </c>
      <c r="C71" s="8" t="inlineStr">
        <is>
          <t>L1</t>
        </is>
      </c>
      <c r="D71" s="8" t="inlineStr">
        <is>
          <t>ANGER</t>
        </is>
      </c>
      <c r="E71" s="8" t="inlineStr"/>
      <c r="F71" s="8" t="inlineStr"/>
      <c r="G71" s="8" t="inlineStr"/>
      <c r="H71" s="8" t="inlineStr"/>
      <c r="I71" s="8" t="inlineStr"/>
      <c r="J71" s="8" t="inlineStr">
        <is>
          <t>198</t>
        </is>
      </c>
      <c r="K71" s="8" t="inlineStr">
        <is>
          <t>288</t>
        </is>
      </c>
      <c r="L71" s="8" t="inlineStr">
        <is>
          <t>1</t>
        </is>
      </c>
      <c r="M71" s="8" t="inlineStr"/>
    </row>
    <row r="72">
      <c r="A72" s="8" t="inlineStr">
        <is>
          <t>ESPANYA</t>
        </is>
      </c>
      <c r="B72" s="8" t="inlineStr">
        <is>
          <t>Espanya</t>
        </is>
      </c>
      <c r="C72" s="8" t="inlineStr">
        <is>
          <t>L1|L3</t>
        </is>
      </c>
      <c r="D72" s="8" t="inlineStr">
        <is>
          <t>ANGER|DISGUST</t>
        </is>
      </c>
      <c r="E72" s="8" t="inlineStr"/>
      <c r="F72" s="8" t="inlineStr"/>
      <c r="G72" s="8" t="inlineStr"/>
      <c r="H72" s="8" t="inlineStr"/>
      <c r="I72" s="8" t="inlineStr"/>
      <c r="J72" s="8" t="inlineStr">
        <is>
          <t>216</t>
        </is>
      </c>
      <c r="K72" s="8" t="inlineStr">
        <is>
          <t>288</t>
        </is>
      </c>
      <c r="L72" s="8" t="inlineStr">
        <is>
          <t>1</t>
        </is>
      </c>
      <c r="M72" s="8" t="inlineStr"/>
    </row>
    <row r="73">
      <c r="A73" s="8" t="inlineStr">
        <is>
          <t>ROCAFORT</t>
        </is>
      </c>
      <c r="B73" s="8" t="inlineStr">
        <is>
          <t>Rocafort</t>
        </is>
      </c>
      <c r="C73" s="8" t="inlineStr">
        <is>
          <t>L1</t>
        </is>
      </c>
      <c r="D73" s="8" t="inlineStr">
        <is>
          <t>ANGER</t>
        </is>
      </c>
      <c r="E73" s="8" t="inlineStr"/>
      <c r="F73" s="8" t="inlineStr"/>
      <c r="G73" s="8" t="inlineStr"/>
      <c r="H73" s="8" t="inlineStr"/>
      <c r="I73" s="8" t="inlineStr"/>
      <c r="J73" s="8" t="inlineStr">
        <is>
          <t>234</t>
        </is>
      </c>
      <c r="K73" s="8" t="inlineStr">
        <is>
          <t>288</t>
        </is>
      </c>
      <c r="L73" s="8" t="inlineStr">
        <is>
          <t>1</t>
        </is>
      </c>
      <c r="M73" s="8" t="inlineStr"/>
    </row>
    <row r="74">
      <c r="A74" s="8" t="inlineStr">
        <is>
          <t>URGELL</t>
        </is>
      </c>
      <c r="B74" s="8" t="inlineStr">
        <is>
          <t>Urgell</t>
        </is>
      </c>
      <c r="C74" s="8" t="inlineStr">
        <is>
          <t>L1</t>
        </is>
      </c>
      <c r="D74" s="8" t="inlineStr">
        <is>
          <t>ANGER</t>
        </is>
      </c>
      <c r="E74" s="8" t="inlineStr"/>
      <c r="F74" s="8" t="inlineStr"/>
      <c r="G74" s="8" t="inlineStr"/>
      <c r="H74" s="8" t="inlineStr"/>
      <c r="I74" s="8" t="inlineStr"/>
      <c r="J74" s="8" t="inlineStr">
        <is>
          <t>252</t>
        </is>
      </c>
      <c r="K74" s="8" t="inlineStr">
        <is>
          <t>288</t>
        </is>
      </c>
      <c r="L74" s="8" t="inlineStr">
        <is>
          <t>1</t>
        </is>
      </c>
      <c r="M74" s="8" t="inlineStr"/>
    </row>
    <row r="75">
      <c r="A75" s="8" t="inlineStr">
        <is>
          <t>UNIVERSITAT</t>
        </is>
      </c>
      <c r="B75" s="8" t="inlineStr">
        <is>
          <t>Universitat</t>
        </is>
      </c>
      <c r="C75" s="8" t="inlineStr">
        <is>
          <t>L1|L2</t>
        </is>
      </c>
      <c r="D75" s="8" t="inlineStr">
        <is>
          <t>ANGER|SURPRISE</t>
        </is>
      </c>
      <c r="E75" s="8" t="inlineStr"/>
      <c r="F75" s="8" t="inlineStr"/>
      <c r="G75" s="8" t="inlineStr"/>
      <c r="H75" s="8" t="inlineStr"/>
      <c r="I75" s="8" t="inlineStr"/>
      <c r="J75" s="8" t="inlineStr">
        <is>
          <t>270</t>
        </is>
      </c>
      <c r="K75" s="8" t="inlineStr">
        <is>
          <t>288</t>
        </is>
      </c>
      <c r="L75" s="8" t="inlineStr">
        <is>
          <t>1</t>
        </is>
      </c>
      <c r="M75" s="8" t="inlineStr"/>
    </row>
    <row r="76">
      <c r="A76" s="8" t="inlineStr">
        <is>
          <t>CATALUNYA</t>
        </is>
      </c>
      <c r="B76" s="8" t="inlineStr">
        <is>
          <t>Catalunya</t>
        </is>
      </c>
      <c r="C76" s="8" t="inlineStr">
        <is>
          <t>L1|L3|L6</t>
        </is>
      </c>
      <c r="D76" s="8" t="inlineStr">
        <is>
          <t>ANGER|DISGUST|FEAR</t>
        </is>
      </c>
      <c r="E76" s="8" t="inlineStr"/>
      <c r="F76" s="8" t="inlineStr"/>
      <c r="G76" s="8" t="inlineStr"/>
      <c r="H76" s="8" t="inlineStr"/>
      <c r="I76" s="8" t="inlineStr"/>
      <c r="J76" s="8" t="inlineStr">
        <is>
          <t>288</t>
        </is>
      </c>
      <c r="K76" s="8" t="inlineStr">
        <is>
          <t>288</t>
        </is>
      </c>
      <c r="L76" s="8" t="inlineStr">
        <is>
          <t>1</t>
        </is>
      </c>
      <c r="M76" s="8" t="inlineStr"/>
    </row>
    <row r="77">
      <c r="A77" s="8" t="inlineStr">
        <is>
          <t>URQUINAONA</t>
        </is>
      </c>
      <c r="B77" s="8" t="inlineStr">
        <is>
          <t>Urquinaona</t>
        </is>
      </c>
      <c r="C77" s="8" t="inlineStr">
        <is>
          <t>L1|L4</t>
        </is>
      </c>
      <c r="D77" s="8" t="inlineStr">
        <is>
          <t>ANGER|JOY</t>
        </is>
      </c>
      <c r="E77" s="8" t="inlineStr"/>
      <c r="F77" s="8" t="inlineStr"/>
      <c r="G77" s="8" t="inlineStr"/>
      <c r="H77" s="8" t="inlineStr"/>
      <c r="I77" s="8" t="inlineStr"/>
      <c r="J77" s="8" t="inlineStr">
        <is>
          <t>306</t>
        </is>
      </c>
      <c r="K77" s="8" t="inlineStr">
        <is>
          <t>288</t>
        </is>
      </c>
      <c r="L77" s="8" t="inlineStr">
        <is>
          <t>1</t>
        </is>
      </c>
      <c r="M77" s="8" t="inlineStr"/>
    </row>
    <row r="78">
      <c r="A78" s="8" t="inlineStr">
        <is>
          <t>ARC_DE_TRIOMF</t>
        </is>
      </c>
      <c r="B78" s="8" t="inlineStr">
        <is>
          <t>Arc de Triomf</t>
        </is>
      </c>
      <c r="C78" s="8" t="inlineStr">
        <is>
          <t>L1</t>
        </is>
      </c>
      <c r="D78" s="8" t="inlineStr">
        <is>
          <t>ANGER</t>
        </is>
      </c>
      <c r="E78" s="8" t="inlineStr"/>
      <c r="F78" s="8" t="inlineStr"/>
      <c r="G78" s="8" t="inlineStr"/>
      <c r="H78" s="8" t="inlineStr"/>
      <c r="I78" s="8" t="inlineStr"/>
      <c r="J78" s="8" t="inlineStr">
        <is>
          <t>324</t>
        </is>
      </c>
      <c r="K78" s="8" t="inlineStr">
        <is>
          <t>288</t>
        </is>
      </c>
      <c r="L78" s="8" t="inlineStr">
        <is>
          <t>1</t>
        </is>
      </c>
      <c r="M78" s="8" t="inlineStr"/>
    </row>
    <row r="79">
      <c r="A79" s="8" t="inlineStr">
        <is>
          <t>MARINA</t>
        </is>
      </c>
      <c r="B79" s="8" t="inlineStr">
        <is>
          <t>Marina</t>
        </is>
      </c>
      <c r="C79" s="8" t="inlineStr">
        <is>
          <t>L1</t>
        </is>
      </c>
      <c r="D79" s="8" t="inlineStr">
        <is>
          <t>ANGER</t>
        </is>
      </c>
      <c r="E79" s="8" t="inlineStr"/>
      <c r="F79" s="8" t="inlineStr"/>
      <c r="G79" s="8" t="inlineStr"/>
      <c r="H79" s="8" t="inlineStr"/>
      <c r="I79" s="8" t="inlineStr"/>
      <c r="J79" s="8" t="inlineStr">
        <is>
          <t>342</t>
        </is>
      </c>
      <c r="K79" s="8" t="inlineStr">
        <is>
          <t>288</t>
        </is>
      </c>
      <c r="L79" s="8" t="inlineStr">
        <is>
          <t>1</t>
        </is>
      </c>
      <c r="M79" s="8" t="inlineStr"/>
    </row>
    <row r="80">
      <c r="A80" s="8" t="inlineStr">
        <is>
          <t>GLORIES</t>
        </is>
      </c>
      <c r="B80" s="8" t="inlineStr">
        <is>
          <t>Glòries</t>
        </is>
      </c>
      <c r="C80" s="8" t="inlineStr">
        <is>
          <t>L1</t>
        </is>
      </c>
      <c r="D80" s="8" t="inlineStr">
        <is>
          <t>ANGER</t>
        </is>
      </c>
      <c r="E80" s="8" t="inlineStr"/>
      <c r="F80" s="8" t="inlineStr"/>
      <c r="G80" s="8" t="inlineStr"/>
      <c r="H80" s="8" t="inlineStr"/>
      <c r="I80" s="8" t="inlineStr"/>
      <c r="J80" s="8" t="inlineStr">
        <is>
          <t>360</t>
        </is>
      </c>
      <c r="K80" s="8" t="inlineStr">
        <is>
          <t>288</t>
        </is>
      </c>
      <c r="L80" s="8" t="inlineStr">
        <is>
          <t>1</t>
        </is>
      </c>
      <c r="M80" s="8" t="inlineStr"/>
    </row>
    <row r="81">
      <c r="A81" s="8" t="inlineStr">
        <is>
          <t>CLOT</t>
        </is>
      </c>
      <c r="B81" s="8" t="inlineStr">
        <is>
          <t>Clot</t>
        </is>
      </c>
      <c r="C81" s="8" t="inlineStr">
        <is>
          <t>L1|L2</t>
        </is>
      </c>
      <c r="D81" s="8" t="inlineStr">
        <is>
          <t>ANGER|SURPRISE</t>
        </is>
      </c>
      <c r="E81" s="8" t="inlineStr"/>
      <c r="F81" s="8" t="inlineStr"/>
      <c r="G81" s="8" t="inlineStr"/>
      <c r="H81" s="8" t="inlineStr"/>
      <c r="I81" s="8" t="inlineStr"/>
      <c r="J81" s="8" t="inlineStr">
        <is>
          <t>378</t>
        </is>
      </c>
      <c r="K81" s="8" t="inlineStr">
        <is>
          <t>288</t>
        </is>
      </c>
      <c r="L81" s="8" t="inlineStr">
        <is>
          <t>1</t>
        </is>
      </c>
      <c r="M81" s="8" t="inlineStr"/>
    </row>
    <row r="82">
      <c r="A82" s="8" t="inlineStr">
        <is>
          <t>BAC_DE_RODA</t>
        </is>
      </c>
      <c r="B82" s="8" t="inlineStr">
        <is>
          <t>Bac de Roda</t>
        </is>
      </c>
      <c r="C82" s="8" t="inlineStr">
        <is>
          <t>L2</t>
        </is>
      </c>
      <c r="D82" s="8" t="inlineStr">
        <is>
          <t>SURPRISE</t>
        </is>
      </c>
      <c r="E82" s="8" t="inlineStr"/>
      <c r="F82" s="8" t="inlineStr"/>
      <c r="G82" s="8" t="inlineStr"/>
      <c r="H82" s="8" t="inlineStr"/>
      <c r="I82" s="8" t="inlineStr"/>
      <c r="J82" s="8" t="inlineStr">
        <is>
          <t>396</t>
        </is>
      </c>
      <c r="K82" s="8" t="inlineStr">
        <is>
          <t>288</t>
        </is>
      </c>
      <c r="L82" s="8" t="inlineStr">
        <is>
          <t>1</t>
        </is>
      </c>
      <c r="M82" s="8" t="inlineStr"/>
    </row>
    <row r="83">
      <c r="A83" s="8" t="inlineStr">
        <is>
          <t>SANT_MARTI</t>
        </is>
      </c>
      <c r="B83" s="8" t="inlineStr">
        <is>
          <t>Sant Martí</t>
        </is>
      </c>
      <c r="C83" s="8" t="inlineStr">
        <is>
          <t>L2</t>
        </is>
      </c>
      <c r="D83" s="8" t="inlineStr">
        <is>
          <t>SURPRISE</t>
        </is>
      </c>
      <c r="E83" s="8" t="inlineStr"/>
      <c r="F83" s="8" t="inlineStr"/>
      <c r="G83" s="8" t="inlineStr"/>
      <c r="H83" s="8" t="inlineStr"/>
      <c r="I83" s="8" t="inlineStr"/>
      <c r="J83" s="8" t="inlineStr">
        <is>
          <t>414</t>
        </is>
      </c>
      <c r="K83" s="8" t="inlineStr">
        <is>
          <t>288</t>
        </is>
      </c>
      <c r="L83" s="8" t="inlineStr">
        <is>
          <t>1</t>
        </is>
      </c>
      <c r="M83" s="8" t="inlineStr"/>
    </row>
    <row r="84">
      <c r="A84" s="8" t="inlineStr">
        <is>
          <t>LA_PAU</t>
        </is>
      </c>
      <c r="B84" s="8" t="inlineStr">
        <is>
          <t>La Pau</t>
        </is>
      </c>
      <c r="C84" s="8" t="inlineStr">
        <is>
          <t>L2|L4</t>
        </is>
      </c>
      <c r="D84" s="8" t="inlineStr">
        <is>
          <t>SURPRISE|JOY</t>
        </is>
      </c>
      <c r="E84" s="8" t="inlineStr"/>
      <c r="F84" s="8" t="inlineStr"/>
      <c r="G84" s="8" t="inlineStr"/>
      <c r="H84" s="8" t="inlineStr"/>
      <c r="I84" s="8" t="inlineStr"/>
      <c r="J84" s="8" t="inlineStr">
        <is>
          <t>432</t>
        </is>
      </c>
      <c r="K84" s="8" t="inlineStr">
        <is>
          <t>288</t>
        </is>
      </c>
      <c r="L84" s="8" t="inlineStr">
        <is>
          <t>1</t>
        </is>
      </c>
      <c r="M84" s="8" t="inlineStr"/>
    </row>
    <row r="85">
      <c r="A85" s="8" t="inlineStr">
        <is>
          <t>VERNEDA</t>
        </is>
      </c>
      <c r="B85" s="8" t="inlineStr">
        <is>
          <t>Verneda</t>
        </is>
      </c>
      <c r="C85" s="8" t="inlineStr">
        <is>
          <t>L2</t>
        </is>
      </c>
      <c r="D85" s="8" t="inlineStr">
        <is>
          <t>SURPRISE</t>
        </is>
      </c>
      <c r="E85" s="8" t="inlineStr"/>
      <c r="F85" s="8" t="inlineStr"/>
      <c r="G85" s="8" t="inlineStr"/>
      <c r="H85" s="8" t="inlineStr"/>
      <c r="I85" s="8" t="inlineStr"/>
      <c r="J85" s="8" t="inlineStr">
        <is>
          <t>450</t>
        </is>
      </c>
      <c r="K85" s="8" t="inlineStr">
        <is>
          <t>288</t>
        </is>
      </c>
      <c r="L85" s="8" t="inlineStr">
        <is>
          <t>1</t>
        </is>
      </c>
      <c r="M85" s="8" t="inlineStr"/>
    </row>
    <row r="86">
      <c r="A86" s="8" t="inlineStr">
        <is>
          <t>ARTIGUES_SANT_ADRIA</t>
        </is>
      </c>
      <c r="B86" s="8" t="inlineStr">
        <is>
          <t>Artigues | Sant Adrià</t>
        </is>
      </c>
      <c r="C86" s="8" t="inlineStr">
        <is>
          <t>L2</t>
        </is>
      </c>
      <c r="D86" s="8" t="inlineStr">
        <is>
          <t>SURPRISE</t>
        </is>
      </c>
      <c r="E86" s="8" t="inlineStr"/>
      <c r="F86" s="8" t="inlineStr"/>
      <c r="G86" s="8" t="inlineStr"/>
      <c r="H86" s="8" t="inlineStr"/>
      <c r="I86" s="8" t="inlineStr"/>
      <c r="J86" s="8" t="inlineStr">
        <is>
          <t>468</t>
        </is>
      </c>
      <c r="K86" s="8" t="inlineStr">
        <is>
          <t>288</t>
        </is>
      </c>
      <c r="L86" s="8" t="inlineStr">
        <is>
          <t>1</t>
        </is>
      </c>
      <c r="M86" s="8" t="inlineStr"/>
    </row>
    <row r="87">
      <c r="A87" s="8" t="inlineStr">
        <is>
          <t>SANT_ROC</t>
        </is>
      </c>
      <c r="B87" s="8" t="inlineStr">
        <is>
          <t>Sant Roc</t>
        </is>
      </c>
      <c r="C87" s="8" t="inlineStr">
        <is>
          <t>L2</t>
        </is>
      </c>
      <c r="D87" s="8" t="inlineStr">
        <is>
          <t>SURPRISE</t>
        </is>
      </c>
      <c r="E87" s="8" t="inlineStr"/>
      <c r="F87" s="8" t="inlineStr"/>
      <c r="G87" s="8" t="inlineStr"/>
      <c r="H87" s="8" t="inlineStr"/>
      <c r="I87" s="8" t="inlineStr"/>
      <c r="J87" s="8" t="inlineStr">
        <is>
          <t>486</t>
        </is>
      </c>
      <c r="K87" s="8" t="inlineStr">
        <is>
          <t>288</t>
        </is>
      </c>
      <c r="L87" s="8" t="inlineStr">
        <is>
          <t>1</t>
        </is>
      </c>
      <c r="M87" s="8" t="inlineStr"/>
    </row>
    <row r="88">
      <c r="A88" s="8" t="inlineStr">
        <is>
          <t>GORG</t>
        </is>
      </c>
      <c r="B88" s="8" t="inlineStr">
        <is>
          <t>Gorg</t>
        </is>
      </c>
      <c r="C88" s="8" t="inlineStr">
        <is>
          <t>L2</t>
        </is>
      </c>
      <c r="D88" s="8" t="inlineStr">
        <is>
          <t>SURPRISE</t>
        </is>
      </c>
      <c r="E88" s="8" t="inlineStr"/>
      <c r="F88" s="8" t="inlineStr"/>
      <c r="G88" s="8" t="inlineStr"/>
      <c r="H88" s="8" t="inlineStr"/>
      <c r="I88" s="8" t="inlineStr"/>
      <c r="J88" s="8" t="inlineStr">
        <is>
          <t>504</t>
        </is>
      </c>
      <c r="K88" s="8" t="inlineStr">
        <is>
          <t>288</t>
        </is>
      </c>
      <c r="L88" s="8" t="inlineStr">
        <is>
          <t>1</t>
        </is>
      </c>
      <c r="M88" s="8" t="inlineStr"/>
    </row>
    <row r="89">
      <c r="A89" s="8" t="inlineStr">
        <is>
          <t>PEP_VENTURA</t>
        </is>
      </c>
      <c r="B89" s="8" t="inlineStr">
        <is>
          <t>Pep Ventura</t>
        </is>
      </c>
      <c r="C89" s="8" t="inlineStr">
        <is>
          <t>L2</t>
        </is>
      </c>
      <c r="D89" s="8" t="inlineStr">
        <is>
          <t>SURPRISE</t>
        </is>
      </c>
      <c r="E89" s="8" t="inlineStr"/>
      <c r="F89" s="8" t="inlineStr"/>
      <c r="G89" s="8" t="inlineStr"/>
      <c r="H89" s="8" t="inlineStr"/>
      <c r="I89" s="8" t="inlineStr"/>
      <c r="J89" s="8" t="inlineStr">
        <is>
          <t>522</t>
        </is>
      </c>
      <c r="K89" s="8" t="inlineStr">
        <is>
          <t>288</t>
        </is>
      </c>
      <c r="L89" s="8" t="inlineStr">
        <is>
          <t>1</t>
        </is>
      </c>
      <c r="M89" s="8" t="inlineStr"/>
    </row>
    <row r="90">
      <c r="A90" s="8" t="inlineStr">
        <is>
          <t>BADALONA_POMPEU_FABRA</t>
        </is>
      </c>
      <c r="B90" s="8" t="inlineStr">
        <is>
          <t>Badalona Pompeu Fabra</t>
        </is>
      </c>
      <c r="C90" s="8" t="inlineStr">
        <is>
          <t>L2</t>
        </is>
      </c>
      <c r="D90" s="8" t="inlineStr">
        <is>
          <t>SURPRISE</t>
        </is>
      </c>
      <c r="E90" s="8" t="inlineStr"/>
      <c r="F90" s="8" t="inlineStr"/>
      <c r="G90" s="8" t="inlineStr"/>
      <c r="H90" s="8" t="inlineStr"/>
      <c r="I90" s="8" t="inlineStr"/>
      <c r="J90" s="8" t="inlineStr">
        <is>
          <t>540</t>
        </is>
      </c>
      <c r="K90" s="8" t="inlineStr">
        <is>
          <t>288</t>
        </is>
      </c>
      <c r="L90" s="8" t="inlineStr">
        <is>
          <t>1</t>
        </is>
      </c>
      <c r="M90" s="8" t="inlineStr"/>
    </row>
    <row r="91">
      <c r="A91" s="8" t="inlineStr">
        <is>
          <t>MERCAT_NOU</t>
        </is>
      </c>
      <c r="B91" s="8" t="inlineStr">
        <is>
          <t>Mercat Nou</t>
        </is>
      </c>
      <c r="C91" s="8" t="inlineStr">
        <is>
          <t>L1</t>
        </is>
      </c>
      <c r="D91" s="8" t="inlineStr">
        <is>
          <t>ANGER</t>
        </is>
      </c>
      <c r="E91" s="8" t="inlineStr"/>
      <c r="F91" s="8" t="inlineStr"/>
      <c r="G91" s="8" t="inlineStr"/>
      <c r="H91" s="8" t="inlineStr"/>
      <c r="I91" s="8" t="inlineStr"/>
      <c r="J91" s="8" t="inlineStr">
        <is>
          <t>162</t>
        </is>
      </c>
      <c r="K91" s="8" t="inlineStr">
        <is>
          <t>306</t>
        </is>
      </c>
      <c r="L91" s="8" t="inlineStr">
        <is>
          <t>1</t>
        </is>
      </c>
      <c r="M91" s="8" t="inlineStr"/>
    </row>
    <row r="92">
      <c r="A92" s="8" t="inlineStr">
        <is>
          <t>BESOS</t>
        </is>
      </c>
      <c r="B92" s="8" t="inlineStr">
        <is>
          <t>Besòs</t>
        </is>
      </c>
      <c r="C92" s="8" t="inlineStr">
        <is>
          <t>L4</t>
        </is>
      </c>
      <c r="D92" s="8" t="inlineStr">
        <is>
          <t>JOY</t>
        </is>
      </c>
      <c r="E92" s="8" t="inlineStr"/>
      <c r="F92" s="8" t="inlineStr"/>
      <c r="G92" s="8" t="inlineStr"/>
      <c r="H92" s="8" t="inlineStr"/>
      <c r="I92" s="8" t="inlineStr"/>
      <c r="J92" s="8" t="inlineStr">
        <is>
          <t>450</t>
        </is>
      </c>
      <c r="K92" s="8" t="inlineStr">
        <is>
          <t>306</t>
        </is>
      </c>
      <c r="L92" s="8" t="inlineStr">
        <is>
          <t>1</t>
        </is>
      </c>
      <c r="M92" s="8" t="inlineStr"/>
    </row>
    <row r="93">
      <c r="A93" s="8" t="inlineStr">
        <is>
          <t>POBLE_SEC</t>
        </is>
      </c>
      <c r="B93" s="8" t="inlineStr">
        <is>
          <t>Poble Sec</t>
        </is>
      </c>
      <c r="C93" s="8" t="inlineStr">
        <is>
          <t>L3</t>
        </is>
      </c>
      <c r="D93" s="8" t="inlineStr">
        <is>
          <t>DISGUST</t>
        </is>
      </c>
      <c r="E93" s="8" t="inlineStr"/>
      <c r="F93" s="8" t="inlineStr"/>
      <c r="G93" s="8" t="inlineStr"/>
      <c r="H93" s="8" t="inlineStr"/>
      <c r="I93" s="8" t="inlineStr"/>
      <c r="J93" s="8" t="inlineStr">
        <is>
          <t>216</t>
        </is>
      </c>
      <c r="K93" s="8" t="inlineStr">
        <is>
          <t>312</t>
        </is>
      </c>
      <c r="L93" s="8" t="inlineStr">
        <is>
          <t>1</t>
        </is>
      </c>
      <c r="M93" s="8" t="inlineStr"/>
    </row>
    <row r="94">
      <c r="A94" s="8" t="inlineStr">
        <is>
          <t>SANT_ANTONI</t>
        </is>
      </c>
      <c r="B94" s="8" t="inlineStr">
        <is>
          <t>Sant Antoni</t>
        </is>
      </c>
      <c r="C94" s="8" t="inlineStr">
        <is>
          <t>L2</t>
        </is>
      </c>
      <c r="D94" s="8" t="inlineStr">
        <is>
          <t>SURPRISE</t>
        </is>
      </c>
      <c r="E94" s="8" t="inlineStr"/>
      <c r="F94" s="8" t="inlineStr"/>
      <c r="G94" s="8" t="inlineStr"/>
      <c r="H94" s="8" t="inlineStr"/>
      <c r="I94" s="8" t="inlineStr"/>
      <c r="J94" s="8" t="inlineStr">
        <is>
          <t>252</t>
        </is>
      </c>
      <c r="K94" s="8" t="inlineStr">
        <is>
          <t>312</t>
        </is>
      </c>
      <c r="L94" s="8" t="inlineStr">
        <is>
          <t>1</t>
        </is>
      </c>
      <c r="M94" s="8" t="inlineStr"/>
    </row>
    <row r="95">
      <c r="A95" s="8" t="inlineStr">
        <is>
          <t>LICEU</t>
        </is>
      </c>
      <c r="B95" s="8" t="inlineStr">
        <is>
          <t>Liceu</t>
        </is>
      </c>
      <c r="C95" s="8" t="inlineStr">
        <is>
          <t>L3</t>
        </is>
      </c>
      <c r="D95" s="8" t="inlineStr">
        <is>
          <t>DISGUST</t>
        </is>
      </c>
      <c r="E95" s="8" t="inlineStr"/>
      <c r="F95" s="8" t="inlineStr"/>
      <c r="G95" s="8" t="inlineStr"/>
      <c r="H95" s="8" t="inlineStr"/>
      <c r="I95" s="8" t="inlineStr"/>
      <c r="J95" s="8" t="inlineStr">
        <is>
          <t>288</t>
        </is>
      </c>
      <c r="K95" s="8" t="inlineStr">
        <is>
          <t>312</t>
        </is>
      </c>
      <c r="L95" s="8" t="inlineStr">
        <is>
          <t>1</t>
        </is>
      </c>
      <c r="M95" s="8" t="inlineStr"/>
    </row>
    <row r="96">
      <c r="A96" s="8" t="inlineStr">
        <is>
          <t>JAUME_I</t>
        </is>
      </c>
      <c r="B96" s="8" t="inlineStr">
        <is>
          <t>Jaume I</t>
        </is>
      </c>
      <c r="C96" s="8" t="inlineStr">
        <is>
          <t>L4</t>
        </is>
      </c>
      <c r="D96" s="8" t="inlineStr">
        <is>
          <t>JOY</t>
        </is>
      </c>
      <c r="E96" s="8" t="inlineStr"/>
      <c r="F96" s="8" t="inlineStr"/>
      <c r="G96" s="8" t="inlineStr"/>
      <c r="H96" s="8" t="inlineStr"/>
      <c r="I96" s="8" t="inlineStr"/>
      <c r="J96" s="8" t="inlineStr">
        <is>
          <t>306</t>
        </is>
      </c>
      <c r="K96" s="8" t="inlineStr">
        <is>
          <t>312</t>
        </is>
      </c>
      <c r="L96" s="8" t="inlineStr">
        <is>
          <t>1</t>
        </is>
      </c>
      <c r="M96" s="8" t="inlineStr"/>
    </row>
    <row r="97">
      <c r="A97" s="8" t="inlineStr">
        <is>
          <t>SANTA_EULALIA</t>
        </is>
      </c>
      <c r="B97" s="8" t="inlineStr">
        <is>
          <t>Santa Eulàlia</t>
        </is>
      </c>
      <c r="C97" s="8" t="inlineStr">
        <is>
          <t>L1</t>
        </is>
      </c>
      <c r="D97" s="8" t="inlineStr">
        <is>
          <t>ANGER</t>
        </is>
      </c>
      <c r="E97" s="8" t="inlineStr"/>
      <c r="F97" s="8" t="inlineStr"/>
      <c r="G97" s="8" t="inlineStr"/>
      <c r="H97" s="8" t="inlineStr"/>
      <c r="I97" s="8" t="inlineStr"/>
      <c r="J97" s="8" t="inlineStr">
        <is>
          <t>144</t>
        </is>
      </c>
      <c r="K97" s="8" t="inlineStr">
        <is>
          <t>324</t>
        </is>
      </c>
      <c r="L97" s="8" t="inlineStr">
        <is>
          <t>1</t>
        </is>
      </c>
      <c r="M97" s="8" t="inlineStr"/>
    </row>
    <row r="98">
      <c r="A98" s="8" t="inlineStr">
        <is>
          <t>PARAL_LEL</t>
        </is>
      </c>
      <c r="B98" s="8" t="inlineStr">
        <is>
          <t>Paral·lel</t>
        </is>
      </c>
      <c r="C98" s="8" t="inlineStr">
        <is>
          <t>L2|L3</t>
        </is>
      </c>
      <c r="D98" s="8" t="inlineStr">
        <is>
          <t>SURPRISE|DISGUST</t>
        </is>
      </c>
      <c r="E98" s="8" t="inlineStr"/>
      <c r="F98" s="8" t="inlineStr"/>
      <c r="G98" s="8" t="inlineStr"/>
      <c r="H98" s="8" t="inlineStr"/>
      <c r="I98" s="8" t="inlineStr"/>
      <c r="J98" s="8" t="inlineStr">
        <is>
          <t>234</t>
        </is>
      </c>
      <c r="K98" s="8" t="inlineStr">
        <is>
          <t>330</t>
        </is>
      </c>
      <c r="L98" s="8" t="inlineStr">
        <is>
          <t>1</t>
        </is>
      </c>
      <c r="M98" s="8" t="inlineStr"/>
    </row>
    <row r="99">
      <c r="A99" s="8" t="inlineStr">
        <is>
          <t>DRASSANES</t>
        </is>
      </c>
      <c r="B99" s="8" t="inlineStr">
        <is>
          <t>Drassanes</t>
        </is>
      </c>
      <c r="C99" s="8" t="inlineStr">
        <is>
          <t>L3</t>
        </is>
      </c>
      <c r="D99" s="8" t="inlineStr">
        <is>
          <t>DISGUST</t>
        </is>
      </c>
      <c r="E99" s="8" t="inlineStr"/>
      <c r="F99" s="8" t="inlineStr"/>
      <c r="G99" s="8" t="inlineStr"/>
      <c r="H99" s="8" t="inlineStr"/>
      <c r="I99" s="8" t="inlineStr"/>
      <c r="J99" s="8" t="inlineStr">
        <is>
          <t>270</t>
        </is>
      </c>
      <c r="K99" s="8" t="inlineStr">
        <is>
          <t>330</t>
        </is>
      </c>
      <c r="L99" s="8" t="inlineStr">
        <is>
          <t>1</t>
        </is>
      </c>
      <c r="M99" s="8" t="inlineStr"/>
    </row>
    <row r="100">
      <c r="A100" s="8" t="inlineStr">
        <is>
          <t>BARCELONETA</t>
        </is>
      </c>
      <c r="B100" s="8" t="inlineStr">
        <is>
          <t>Barceloneta</t>
        </is>
      </c>
      <c r="C100" s="8" t="inlineStr">
        <is>
          <t>L4</t>
        </is>
      </c>
      <c r="D100" s="8" t="inlineStr">
        <is>
          <t>JOY</t>
        </is>
      </c>
      <c r="E100" s="8" t="inlineStr"/>
      <c r="F100" s="8" t="inlineStr"/>
      <c r="G100" s="8" t="inlineStr"/>
      <c r="H100" s="8" t="inlineStr"/>
      <c r="I100" s="8" t="inlineStr"/>
      <c r="J100" s="8" t="inlineStr">
        <is>
          <t>324</t>
        </is>
      </c>
      <c r="K100" s="8" t="inlineStr">
        <is>
          <t>330</t>
        </is>
      </c>
      <c r="L100" s="8" t="inlineStr">
        <is>
          <t>1</t>
        </is>
      </c>
      <c r="M100" s="8" t="inlineStr"/>
    </row>
    <row r="101">
      <c r="A101" s="8" t="inlineStr">
        <is>
          <t>CIUTADELLA_VILA_OLIMPICA</t>
        </is>
      </c>
      <c r="B101" s="8" t="inlineStr">
        <is>
          <t>Ciutadella | Vila Olímpica</t>
        </is>
      </c>
      <c r="C101" s="8" t="inlineStr">
        <is>
          <t>L4</t>
        </is>
      </c>
      <c r="D101" s="8" t="inlineStr">
        <is>
          <t>JOY</t>
        </is>
      </c>
      <c r="E101" s="8" t="inlineStr"/>
      <c r="F101" s="8" t="inlineStr"/>
      <c r="G101" s="8" t="inlineStr"/>
      <c r="H101" s="8" t="inlineStr"/>
      <c r="I101" s="8" t="inlineStr"/>
      <c r="J101" s="8" t="inlineStr">
        <is>
          <t>342</t>
        </is>
      </c>
      <c r="K101" s="8" t="inlineStr">
        <is>
          <t>330</t>
        </is>
      </c>
      <c r="L101" s="8" t="inlineStr">
        <is>
          <t>1</t>
        </is>
      </c>
      <c r="M101" s="8" t="inlineStr"/>
    </row>
    <row r="102">
      <c r="A102" s="8" t="inlineStr">
        <is>
          <t>BOGATELL</t>
        </is>
      </c>
      <c r="B102" s="8" t="inlineStr">
        <is>
          <t>Bogatell</t>
        </is>
      </c>
      <c r="C102" s="8" t="inlineStr">
        <is>
          <t>L4</t>
        </is>
      </c>
      <c r="D102" s="8" t="inlineStr">
        <is>
          <t>JOY</t>
        </is>
      </c>
      <c r="E102" s="8" t="inlineStr"/>
      <c r="F102" s="8" t="inlineStr"/>
      <c r="G102" s="8" t="inlineStr"/>
      <c r="H102" s="8" t="inlineStr"/>
      <c r="I102" s="8" t="inlineStr"/>
      <c r="J102" s="8" t="inlineStr">
        <is>
          <t>360</t>
        </is>
      </c>
      <c r="K102" s="8" t="inlineStr">
        <is>
          <t>330</t>
        </is>
      </c>
      <c r="L102" s="8" t="inlineStr">
        <is>
          <t>1</t>
        </is>
      </c>
      <c r="M102" s="8" t="inlineStr"/>
    </row>
    <row r="103">
      <c r="A103" s="8" t="inlineStr">
        <is>
          <t>LLACUNA</t>
        </is>
      </c>
      <c r="B103" s="8" t="inlineStr">
        <is>
          <t>Llacuna</t>
        </is>
      </c>
      <c r="C103" s="8" t="inlineStr">
        <is>
          <t>L4</t>
        </is>
      </c>
      <c r="D103" s="8" t="inlineStr">
        <is>
          <t>JOY</t>
        </is>
      </c>
      <c r="E103" s="8" t="inlineStr"/>
      <c r="F103" s="8" t="inlineStr"/>
      <c r="G103" s="8" t="inlineStr"/>
      <c r="H103" s="8" t="inlineStr"/>
      <c r="I103" s="8" t="inlineStr"/>
      <c r="J103" s="8" t="inlineStr">
        <is>
          <t>378</t>
        </is>
      </c>
      <c r="K103" s="8" t="inlineStr">
        <is>
          <t>330</t>
        </is>
      </c>
      <c r="L103" s="8" t="inlineStr">
        <is>
          <t>1</t>
        </is>
      </c>
      <c r="M103" s="8" t="inlineStr"/>
    </row>
    <row r="104">
      <c r="A104" s="8" t="inlineStr">
        <is>
          <t>POBLENOU</t>
        </is>
      </c>
      <c r="B104" s="8" t="inlineStr">
        <is>
          <t>Poblenou</t>
        </is>
      </c>
      <c r="C104" s="8" t="inlineStr">
        <is>
          <t>L4</t>
        </is>
      </c>
      <c r="D104" s="8" t="inlineStr">
        <is>
          <t>JOY</t>
        </is>
      </c>
      <c r="E104" s="8" t="inlineStr"/>
      <c r="F104" s="8" t="inlineStr"/>
      <c r="G104" s="8" t="inlineStr"/>
      <c r="H104" s="8" t="inlineStr"/>
      <c r="I104" s="8" t="inlineStr"/>
      <c r="J104" s="8" t="inlineStr">
        <is>
          <t>396</t>
        </is>
      </c>
      <c r="K104" s="8" t="inlineStr">
        <is>
          <t>330</t>
        </is>
      </c>
      <c r="L104" s="8" t="inlineStr">
        <is>
          <t>1</t>
        </is>
      </c>
      <c r="M104" s="8" t="inlineStr"/>
    </row>
    <row r="105">
      <c r="A105" s="8" t="inlineStr">
        <is>
          <t>SELVA_DE_MAR</t>
        </is>
      </c>
      <c r="B105" s="8" t="inlineStr">
        <is>
          <t>Selva de Mar</t>
        </is>
      </c>
      <c r="C105" s="8" t="inlineStr">
        <is>
          <t>L4</t>
        </is>
      </c>
      <c r="D105" s="8" t="inlineStr">
        <is>
          <t>JOY</t>
        </is>
      </c>
      <c r="E105" s="8" t="inlineStr"/>
      <c r="F105" s="8" t="inlineStr"/>
      <c r="G105" s="8" t="inlineStr"/>
      <c r="H105" s="8" t="inlineStr"/>
      <c r="I105" s="8" t="inlineStr"/>
      <c r="J105" s="8" t="inlineStr">
        <is>
          <t>414</t>
        </is>
      </c>
      <c r="K105" s="8" t="inlineStr">
        <is>
          <t>330</t>
        </is>
      </c>
      <c r="L105" s="8" t="inlineStr">
        <is>
          <t>1</t>
        </is>
      </c>
      <c r="M105" s="8" t="inlineStr"/>
    </row>
    <row r="106">
      <c r="A106" s="8" t="inlineStr">
        <is>
          <t>EL_MARESME_FORUM</t>
        </is>
      </c>
      <c r="B106" s="8" t="inlineStr">
        <is>
          <t>El Maresme | Fòrum</t>
        </is>
      </c>
      <c r="C106" s="8" t="inlineStr">
        <is>
          <t>L4</t>
        </is>
      </c>
      <c r="D106" s="8" t="inlineStr">
        <is>
          <t>JOY</t>
        </is>
      </c>
      <c r="E106" s="8" t="inlineStr"/>
      <c r="F106" s="8" t="inlineStr"/>
      <c r="G106" s="8" t="inlineStr"/>
      <c r="H106" s="8" t="inlineStr"/>
      <c r="I106" s="8" t="inlineStr"/>
      <c r="J106" s="8" t="inlineStr">
        <is>
          <t>432</t>
        </is>
      </c>
      <c r="K106" s="8" t="inlineStr">
        <is>
          <t>330</t>
        </is>
      </c>
      <c r="L106" s="8" t="inlineStr">
        <is>
          <t>1</t>
        </is>
      </c>
      <c r="M106" s="8" t="inlineStr"/>
    </row>
    <row r="107">
      <c r="A107" s="8" t="inlineStr">
        <is>
          <t>BESOS_MAR</t>
        </is>
      </c>
      <c r="B107" s="8" t="inlineStr">
        <is>
          <t>Besòs Mar</t>
        </is>
      </c>
      <c r="C107" s="8" t="inlineStr">
        <is>
          <t>L4</t>
        </is>
      </c>
      <c r="D107" s="8" t="inlineStr">
        <is>
          <t>JOY</t>
        </is>
      </c>
      <c r="E107" s="8" t="inlineStr"/>
      <c r="F107" s="8" t="inlineStr"/>
      <c r="G107" s="8" t="inlineStr"/>
      <c r="H107" s="8" t="inlineStr"/>
      <c r="I107" s="8" t="inlineStr"/>
      <c r="J107" s="8" t="inlineStr">
        <is>
          <t>450</t>
        </is>
      </c>
      <c r="K107" s="8" t="inlineStr">
        <is>
          <t>330</t>
        </is>
      </c>
      <c r="L107" s="8" t="inlineStr">
        <is>
          <t>1</t>
        </is>
      </c>
      <c r="M107" s="8" t="inlineStr"/>
    </row>
    <row r="108">
      <c r="A108" s="8" t="inlineStr">
        <is>
          <t>HOSPITAL_DE_BELLVITGE</t>
        </is>
      </c>
      <c r="B108" s="8" t="inlineStr">
        <is>
          <t>Hospital de Bellvitge</t>
        </is>
      </c>
      <c r="C108" s="8" t="inlineStr">
        <is>
          <t>L1</t>
        </is>
      </c>
      <c r="D108" s="8" t="inlineStr">
        <is>
          <t>ANGER</t>
        </is>
      </c>
      <c r="E108" s="8" t="inlineStr"/>
      <c r="F108" s="8" t="inlineStr"/>
      <c r="G108" s="8" t="inlineStr"/>
      <c r="H108" s="8" t="inlineStr"/>
      <c r="I108" s="8" t="inlineStr"/>
      <c r="J108" s="8" t="inlineStr">
        <is>
          <t>18</t>
        </is>
      </c>
      <c r="K108" s="8" t="inlineStr">
        <is>
          <t>342</t>
        </is>
      </c>
      <c r="L108" s="8" t="inlineStr">
        <is>
          <t>1</t>
        </is>
      </c>
      <c r="M108" s="8" t="inlineStr"/>
    </row>
    <row r="109">
      <c r="A109" s="8" t="inlineStr">
        <is>
          <t>BELLVITGE</t>
        </is>
      </c>
      <c r="B109" s="8" t="inlineStr">
        <is>
          <t>Bellvitge</t>
        </is>
      </c>
      <c r="C109" s="8" t="inlineStr">
        <is>
          <t>L1</t>
        </is>
      </c>
      <c r="D109" s="8" t="inlineStr">
        <is>
          <t>ANGER</t>
        </is>
      </c>
      <c r="E109" s="8" t="inlineStr"/>
      <c r="F109" s="8" t="inlineStr"/>
      <c r="G109" s="8" t="inlineStr"/>
      <c r="H109" s="8" t="inlineStr"/>
      <c r="I109" s="8" t="inlineStr"/>
      <c r="J109" s="8" t="inlineStr">
        <is>
          <t>36</t>
        </is>
      </c>
      <c r="K109" s="8" t="inlineStr">
        <is>
          <t>342</t>
        </is>
      </c>
      <c r="L109" s="8" t="inlineStr">
        <is>
          <t>1</t>
        </is>
      </c>
      <c r="M109" s="8" t="inlineStr"/>
    </row>
    <row r="110">
      <c r="A110" s="8" t="inlineStr">
        <is>
          <t>L_HOSPITALET_AV_CARRILET</t>
        </is>
      </c>
      <c r="B110" s="8" t="inlineStr">
        <is>
          <t>L'Hospitalet | Av. Carrilet</t>
        </is>
      </c>
      <c r="C110" s="8" t="inlineStr">
        <is>
          <t>L1</t>
        </is>
      </c>
      <c r="D110" s="8" t="inlineStr">
        <is>
          <t>ANGER</t>
        </is>
      </c>
      <c r="E110" s="8" t="inlineStr"/>
      <c r="F110" s="8" t="inlineStr"/>
      <c r="G110" s="8" t="inlineStr"/>
      <c r="H110" s="8" t="inlineStr"/>
      <c r="I110" s="8" t="inlineStr"/>
      <c r="J110" s="8" t="inlineStr">
        <is>
          <t>54</t>
        </is>
      </c>
      <c r="K110" s="8" t="inlineStr">
        <is>
          <t>342</t>
        </is>
      </c>
      <c r="L110" s="8" t="inlineStr">
        <is>
          <t>1</t>
        </is>
      </c>
      <c r="M110" s="8" t="inlineStr"/>
    </row>
    <row r="111">
      <c r="A111" s="8" t="inlineStr">
        <is>
          <t>RAMBLA_JUST_OLIVERAS</t>
        </is>
      </c>
      <c r="B111" s="8" t="inlineStr">
        <is>
          <t>Rambla Just Oliveras</t>
        </is>
      </c>
      <c r="C111" s="8" t="inlineStr">
        <is>
          <t>L1</t>
        </is>
      </c>
      <c r="D111" s="8" t="inlineStr">
        <is>
          <t>ANGER</t>
        </is>
      </c>
      <c r="E111" s="8" t="inlineStr"/>
      <c r="F111" s="8" t="inlineStr"/>
      <c r="G111" s="8" t="inlineStr"/>
      <c r="H111" s="8" t="inlineStr"/>
      <c r="I111" s="8" t="inlineStr"/>
      <c r="J111" s="8" t="inlineStr">
        <is>
          <t>72</t>
        </is>
      </c>
      <c r="K111" s="8" t="inlineStr">
        <is>
          <t>342</t>
        </is>
      </c>
      <c r="L111" s="8" t="inlineStr">
        <is>
          <t>1</t>
        </is>
      </c>
      <c r="M111" s="8" t="inlineStr"/>
    </row>
    <row r="112">
      <c r="A112" s="8" t="inlineStr">
        <is>
          <t>CAN_SERRA</t>
        </is>
      </c>
      <c r="B112" s="8" t="inlineStr">
        <is>
          <t>Can Serra</t>
        </is>
      </c>
      <c r="C112" s="8" t="inlineStr">
        <is>
          <t>L1</t>
        </is>
      </c>
      <c r="D112" s="8" t="inlineStr">
        <is>
          <t>ANGER</t>
        </is>
      </c>
      <c r="E112" s="8" t="inlineStr"/>
      <c r="F112" s="8" t="inlineStr"/>
      <c r="G112" s="8" t="inlineStr"/>
      <c r="H112" s="8" t="inlineStr"/>
      <c r="I112" s="8" t="inlineStr"/>
      <c r="J112" s="8" t="inlineStr">
        <is>
          <t>90</t>
        </is>
      </c>
      <c r="K112" s="8" t="inlineStr">
        <is>
          <t>342</t>
        </is>
      </c>
      <c r="L112" s="8" t="inlineStr">
        <is>
          <t>1</t>
        </is>
      </c>
      <c r="M112" s="8" t="inlineStr"/>
    </row>
    <row r="113">
      <c r="A113" s="8" t="inlineStr">
        <is>
          <t>FLORIDA</t>
        </is>
      </c>
      <c r="B113" s="8" t="inlineStr">
        <is>
          <t>Florida</t>
        </is>
      </c>
      <c r="C113" s="8" t="inlineStr">
        <is>
          <t>L1</t>
        </is>
      </c>
      <c r="D113" s="8" t="inlineStr">
        <is>
          <t>ANGER</t>
        </is>
      </c>
      <c r="E113" s="8" t="inlineStr"/>
      <c r="F113" s="8" t="inlineStr"/>
      <c r="G113" s="8" t="inlineStr"/>
      <c r="H113" s="8" t="inlineStr"/>
      <c r="I113" s="8" t="inlineStr"/>
      <c r="J113" s="8" t="inlineStr">
        <is>
          <t>108</t>
        </is>
      </c>
      <c r="K113" s="8" t="inlineStr">
        <is>
          <t>342</t>
        </is>
      </c>
      <c r="L113" s="8" t="inlineStr">
        <is>
          <t>1</t>
        </is>
      </c>
      <c r="M113" s="8" t="inlineStr"/>
    </row>
    <row r="114">
      <c r="A114" s="8" t="inlineStr">
        <is>
          <t>TORRASSA</t>
        </is>
      </c>
      <c r="B114" s="8" t="inlineStr">
        <is>
          <t>Torrassa</t>
        </is>
      </c>
      <c r="C114" s="8" t="inlineStr">
        <is>
          <t>L1</t>
        </is>
      </c>
      <c r="D114" s="8" t="inlineStr">
        <is>
          <t>ANGER</t>
        </is>
      </c>
      <c r="E114" s="8" t="inlineStr"/>
      <c r="F114" s="8" t="inlineStr"/>
      <c r="G114" s="8" t="inlineStr"/>
      <c r="H114" s="8" t="inlineStr"/>
      <c r="I114" s="8" t="inlineStr"/>
      <c r="J114" s="8" t="inlineStr">
        <is>
          <t>126</t>
        </is>
      </c>
      <c r="K114" s="8" t="inlineStr">
        <is>
          <t>342</t>
        </is>
      </c>
      <c r="L114" s="8" t="inlineStr">
        <is>
          <t>1</t>
        </is>
      </c>
      <c r="M114" s="8" t="inlineStr"/>
    </row>
  </sheetData>
  <mergeCells count="1">
    <mergeCell ref="A1:M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90" customWidth="1" min="4" max="4"/>
    <col width="12" customWidth="1" min="5" max="5"/>
    <col width="26" customWidth="1" min="6" max="6"/>
  </cols>
  <sheetData>
    <row r="1">
      <c r="A1" s="4" t="inlineStr">
        <is>
          <t>One row per line, `stations` in running order (| separated). Colour is NOT stored: it comes from the emotion, so the map cannot drift out of step with battle.</t>
        </is>
      </c>
    </row>
    <row r="3">
      <c r="A3" s="5" t="inlineStr">
        <is>
          <t>id</t>
        </is>
      </c>
      <c r="B3" s="5" t="inlineStr">
        <is>
          <t>name</t>
        </is>
      </c>
      <c r="C3" s="5" t="inlineStr">
        <is>
          <t>emotion</t>
        </is>
      </c>
      <c r="D3" s="5" t="inlineStr">
        <is>
          <t>stations</t>
        </is>
      </c>
      <c r="E3" s="5" t="inlineStr">
        <is>
          <t>enabled</t>
        </is>
      </c>
      <c r="F3" s="5" t="inlineStr">
        <is>
          <t>notes</t>
        </is>
      </c>
    </row>
    <row r="4">
      <c r="A4" s="6" t="inlineStr">
        <is>
          <t>LIVE</t>
        </is>
      </c>
      <c r="B4" s="6" t="inlineStr">
        <is>
          <t>LIVE</t>
        </is>
      </c>
      <c r="C4" s="6" t="inlineStr">
        <is>
          <t>LIVE</t>
        </is>
      </c>
      <c r="D4" s="6" t="inlineStr">
        <is>
          <t>LIVE</t>
        </is>
      </c>
      <c r="E4" s="6" t="inlineStr">
        <is>
          <t>LIVE</t>
        </is>
      </c>
      <c r="F4" s="7" t="inlineStr">
        <is>
          <t>planned</t>
        </is>
      </c>
    </row>
    <row r="5">
      <c r="A5" s="8" t="inlineStr">
        <is>
          <t>L1</t>
        </is>
      </c>
      <c r="B5" s="8" t="inlineStr">
        <is>
          <t>Línia 1</t>
        </is>
      </c>
      <c r="C5" s="8" t="inlineStr">
        <is>
          <t>ANGER</t>
        </is>
      </c>
      <c r="D5" s="8" t="inlineStr">
        <is>
          <t>HOSPITAL_DE_BELLVITGE|BELLVITGE|L_HOSPITALET_AV_CARRILET|RAMBLA_JUST_OLIVERAS|CAN_SERRA|FLORIDA|TORRASSA|SANTA_EULALIA|MERCAT_NOU|PLACA_DE_SANTS|HOSTAFRANCS|ESPANYA|ROCAFORT|URGELL|UNIVERSITAT|CATALUNYA|URQUINAONA|ARC_DE_TRIOMF|MARINA|GLORIES|CLOT|NAVAS|LA_SAGRERA|FABRA_I_PUIG|SANT_ANDREU|TORRAS_I_BAGES|TRINITAT_VELLA|BARO_DE_VIVER|SANTA_COLOMA|FONDO</t>
        </is>
      </c>
      <c r="E5" s="8" t="inlineStr">
        <is>
          <t>1</t>
        </is>
      </c>
      <c r="F5" s="8" t="inlineStr"/>
    </row>
    <row r="6">
      <c r="A6" s="8" t="inlineStr">
        <is>
          <t>L2</t>
        </is>
      </c>
      <c r="B6" s="8" t="inlineStr">
        <is>
          <t>Línia 2</t>
        </is>
      </c>
      <c r="C6" s="8" t="inlineStr">
        <is>
          <t>SURPRISE</t>
        </is>
      </c>
      <c r="D6" s="8" t="inlineStr">
        <is>
          <t>PARAL_LEL|SANT_ANTONI|UNIVERSITAT|PASSEIG_DE_GRACIA|TETUAN|MONUMENTAL|SAGRADA_FAMILIA|ENCANTS|CLOT|BAC_DE_RODA|SANT_MARTI|LA_PAU|VERNEDA|ARTIGUES_SANT_ADRIA|SANT_ROC|GORG|PEP_VENTURA|BADALONA_POMPEU_FABRA</t>
        </is>
      </c>
      <c r="E6" s="8" t="inlineStr">
        <is>
          <t>1</t>
        </is>
      </c>
      <c r="F6" s="8" t="inlineStr"/>
    </row>
    <row r="7">
      <c r="A7" s="8" t="inlineStr">
        <is>
          <t>L3</t>
        </is>
      </c>
      <c r="B7" s="8" t="inlineStr">
        <is>
          <t>Línia 3</t>
        </is>
      </c>
      <c r="C7" s="8" t="inlineStr">
        <is>
          <t>DISGUST</t>
        </is>
      </c>
      <c r="D7" s="8" t="inlineStr">
        <is>
          <t>ZONA_UNIVERSITARIA|PALAU_REIAL|MARIA_CRISTINA|LES_CORTS|PLACA_DEL_CENTRE|SANTS_ESTACIO|ESPANYA|POBLE_SEC|PARAL_LEL|DRASSANES|LICEU|CATALUNYA|PASSEIG_DE_GRACIA|DIAGONAL|FONTANA|LESSEPS|VALLCARCA|PENITENTS|VALL_D_HEBRON|MONTBAU|MUNDET|VALLDAURA|CANYELLES|ROQUETES|TRINITAT_NOVA</t>
        </is>
      </c>
      <c r="E7" s="8" t="inlineStr">
        <is>
          <t>1</t>
        </is>
      </c>
      <c r="F7" s="8" t="inlineStr"/>
    </row>
    <row r="8">
      <c r="A8" s="8" t="inlineStr">
        <is>
          <t>L4</t>
        </is>
      </c>
      <c r="B8" s="8" t="inlineStr">
        <is>
          <t>Línia 4</t>
        </is>
      </c>
      <c r="C8" s="8" t="inlineStr">
        <is>
          <t>JOY</t>
        </is>
      </c>
      <c r="D8" s="8" t="inlineStr">
        <is>
          <t>TRINITAT_NOVA|VIA_JULIA|LLUCMAJOR|MARAGALL|GUINARDO_HOSPITAL_DE_SANT_PAU|ALFONS_X|JOANIC|VERDAGUER|GIRONA|PASSEIG_DE_GRACIA|URQUINAONA|JAUME_I|BARCELONETA|CIUTADELLA_VILA_OLIMPICA|BOGATELL|LLACUNA|POBLENOU|SELVA_DE_MAR|EL_MARESME_FORUM|BESOS_MAR|BESOS|LA_PAU</t>
        </is>
      </c>
      <c r="E8" s="8" t="inlineStr">
        <is>
          <t>1</t>
        </is>
      </c>
      <c r="F8" s="8" t="inlineStr"/>
    </row>
    <row r="9">
      <c r="A9" s="8" t="inlineStr">
        <is>
          <t>L5</t>
        </is>
      </c>
      <c r="B9" s="8" t="inlineStr">
        <is>
          <t>Línia 5</t>
        </is>
      </c>
      <c r="C9" s="8" t="inlineStr">
        <is>
          <t>SADNESS</t>
        </is>
      </c>
      <c r="D9" s="8" t="inlineStr">
        <is>
          <t>CORNELLA_CENTRE|GAVARRA|SANT_ILDEFONS|CAN_BOIXERES|CAN_VIDALET|PUBILLA_CASES|COLLBLANC|BADAL|PLACA_DE_SANTS|SANTS_ESTACIO|ENTENCA|HOSPITAL_CLINIC|DIAGONAL|VERDAGUER|SAGRADA_FAMILIA|SANT_PAU_DOS_DE_MAIG|CAMP_DE_L_ARPA|LA_SAGRERA|CONGRES|MARAGALL|VIRREI_AMAT|VILAPICINA|HORTA|EL_CARMEL|EL_COLL_LA_TEIXONERA|VALL_D_HEBRON</t>
        </is>
      </c>
      <c r="E9" s="8" t="inlineStr">
        <is>
          <t>1</t>
        </is>
      </c>
      <c r="F9" s="8" t="inlineStr"/>
    </row>
    <row r="10">
      <c r="A10" s="8" t="inlineStr">
        <is>
          <t>L6</t>
        </is>
      </c>
      <c r="B10" s="8" t="inlineStr">
        <is>
          <t>Línia 6</t>
        </is>
      </c>
      <c r="C10" s="8" t="inlineStr">
        <is>
          <t>FEAR</t>
        </is>
      </c>
      <c r="D10" s="8" t="inlineStr">
        <is>
          <t>CATALUNYA|PROVENCA|GRACIA|SANT_GERVASI|MUNTANER|LA_BONANOVA|LES_TRES_TORRES|SARRIA</t>
        </is>
      </c>
      <c r="E10" s="8" t="inlineStr">
        <is>
          <t>1</t>
        </is>
      </c>
      <c r="F10" s="8" t="inlineStr"/>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11" customWidth="1" min="3" max="3"/>
    <col width="11" customWidth="1" min="4" max="4"/>
    <col width="11" customWidth="1" min="5" max="5"/>
    <col width="18" customWidth="1" min="6" max="6"/>
    <col width="17" customWidth="1" min="7" max="7"/>
    <col width="13" customWidth="1" min="8" max="8"/>
    <col width="13" customWidth="1" min="9" max="9"/>
    <col width="11" customWidth="1" min="10" max="10"/>
    <col width="11" customWidth="1" min="11" max="11"/>
    <col width="11" customWidth="1" min="12" max="12"/>
    <col width="12" customWidth="1" min="13" max="13"/>
    <col width="11" customWidth="1" min="14" max="14"/>
    <col width="14" customWidth="1" min="15" max="15"/>
    <col width="11" customWidth="1" min="16" max="16"/>
    <col width="12" customWidth="1" min="17" max="17"/>
    <col width="46" customWidth="1" min="18" max="18"/>
  </cols>
  <sheetData>
    <row r="1">
      <c r="A1" s="4" t="inlineStr">
        <is>
          <t>What can appear around the train during a ride. `chance` is rolled per element every travelRollSecs; max_on_screen caps how many exist at once, max_per_trip how many one ride may ever produce. life_min/life_max in seconds. `drift` is speed relative to the track (&gt;1 reads as nearer the camera). These are BASES: the target station's `spawn` column scales them, and so will weather and time of day when those exist. `unit` FORCES which units row an enemy element fights as; LEAVE IT BLANK and the map rolls one from the units that name the line being ridden in their `spawn_lines`, which is what makes Line 2 feel unlike Line 5. Fill it in only to pin one element to one enemy.</t>
        </is>
      </c>
    </row>
    <row r="3">
      <c r="A3" s="5" t="inlineStr">
        <is>
          <t>id</t>
        </is>
      </c>
      <c r="B3" s="5" t="inlineStr">
        <is>
          <t>name</t>
        </is>
      </c>
      <c r="C3" s="5" t="inlineStr">
        <is>
          <t>kind</t>
        </is>
      </c>
      <c r="D3" s="5" t="inlineStr">
        <is>
          <t>motion</t>
        </is>
      </c>
      <c r="E3" s="5" t="inlineStr">
        <is>
          <t>chance</t>
        </is>
      </c>
      <c r="F3" s="5" t="inlineStr">
        <is>
          <t>max_on_screen</t>
        </is>
      </c>
      <c r="G3" s="5" t="inlineStr">
        <is>
          <t>max_per_trip</t>
        </is>
      </c>
      <c r="H3" s="5" t="inlineStr">
        <is>
          <t>life_min</t>
        </is>
      </c>
      <c r="I3" s="5" t="inlineStr">
        <is>
          <t>life_max</t>
        </is>
      </c>
      <c r="J3" s="5" t="inlineStr">
        <is>
          <t>size</t>
        </is>
      </c>
      <c r="K3" s="5" t="inlineStr">
        <is>
          <t>drift</t>
        </is>
      </c>
      <c r="L3" s="5" t="inlineStr">
        <is>
          <t>worth</t>
        </is>
      </c>
      <c r="M3" s="5" t="inlineStr">
        <is>
          <t>payload</t>
        </is>
      </c>
      <c r="N3" s="5" t="inlineStr">
        <is>
          <t>amount</t>
        </is>
      </c>
      <c r="O3" s="5" t="inlineStr">
        <is>
          <t>lock_secs</t>
        </is>
      </c>
      <c r="P3" s="5" t="inlineStr">
        <is>
          <t>unit</t>
        </is>
      </c>
      <c r="Q3" s="5" t="inlineStr">
        <is>
          <t>enabled</t>
        </is>
      </c>
      <c r="R3" s="5" t="inlineStr">
        <is>
          <t>notes</t>
        </is>
      </c>
    </row>
    <row r="4">
      <c r="A4" s="6" t="inlineStr">
        <is>
          <t>LIVE</t>
        </is>
      </c>
      <c r="B4" s="6" t="inlineStr">
        <is>
          <t>LIVE</t>
        </is>
      </c>
      <c r="C4" s="6" t="inlineStr">
        <is>
          <t>LIVE</t>
        </is>
      </c>
      <c r="D4" s="6" t="inlineStr">
        <is>
          <t>LIVE</t>
        </is>
      </c>
      <c r="E4" s="6" t="inlineStr">
        <is>
          <t>LIVE</t>
        </is>
      </c>
      <c r="F4" s="6" t="inlineStr">
        <is>
          <t>LIVE</t>
        </is>
      </c>
      <c r="G4" s="6" t="inlineStr">
        <is>
          <t>LIVE</t>
        </is>
      </c>
      <c r="H4" s="6" t="inlineStr">
        <is>
          <t>LIVE</t>
        </is>
      </c>
      <c r="I4" s="6" t="inlineStr">
        <is>
          <t>LIVE</t>
        </is>
      </c>
      <c r="J4" s="6" t="inlineStr">
        <is>
          <t>LIVE</t>
        </is>
      </c>
      <c r="K4" s="6" t="inlineStr">
        <is>
          <t>LIVE</t>
        </is>
      </c>
      <c r="L4" s="6" t="inlineStr">
        <is>
          <t>LIVE</t>
        </is>
      </c>
      <c r="M4" s="6" t="inlineStr">
        <is>
          <t>LIVE</t>
        </is>
      </c>
      <c r="N4" s="6" t="inlineStr">
        <is>
          <t>LIVE</t>
        </is>
      </c>
      <c r="O4" s="6" t="inlineStr">
        <is>
          <t>LIVE</t>
        </is>
      </c>
      <c r="P4" s="6" t="inlineStr">
        <is>
          <t>LIVE</t>
        </is>
      </c>
      <c r="Q4" s="6" t="inlineStr">
        <is>
          <t>LIVE</t>
        </is>
      </c>
      <c r="R4" s="7" t="inlineStr">
        <is>
          <t>planned</t>
        </is>
      </c>
    </row>
    <row r="5">
      <c r="A5" s="8" t="inlineStr">
        <is>
          <t>TRACK_SEGMENT</t>
        </is>
      </c>
      <c r="B5" s="8" t="inlineStr">
        <is>
          <t>Track Segment</t>
        </is>
      </c>
      <c r="C5" s="8" t="inlineStr">
        <is>
          <t>SEGMENT</t>
        </is>
      </c>
      <c r="D5" s="8" t="inlineStr">
        <is>
          <t>FLYBY</t>
        </is>
      </c>
      <c r="E5" s="8" t="inlineStr">
        <is>
          <t>0.55</t>
        </is>
      </c>
      <c r="F5" s="8" t="inlineStr">
        <is>
          <t>5</t>
        </is>
      </c>
      <c r="G5" s="8" t="inlineStr">
        <is>
          <t>0</t>
        </is>
      </c>
      <c r="H5" s="8" t="inlineStr">
        <is>
          <t>6</t>
        </is>
      </c>
      <c r="I5" s="8" t="inlineStr">
        <is>
          <t>9</t>
        </is>
      </c>
      <c r="J5" s="8" t="inlineStr">
        <is>
          <t>11</t>
        </is>
      </c>
      <c r="K5" s="8" t="inlineStr">
        <is>
          <t>1.15</t>
        </is>
      </c>
      <c r="L5" s="8" t="inlineStr">
        <is>
          <t>1</t>
        </is>
      </c>
      <c r="M5" s="8" t="inlineStr">
        <is>
          <t>NONE</t>
        </is>
      </c>
      <c r="N5" s="8" t="inlineStr">
        <is>
          <t>0</t>
        </is>
      </c>
      <c r="O5" s="8" t="inlineStr">
        <is>
          <t>0</t>
        </is>
      </c>
      <c r="P5" s="8" t="inlineStr"/>
      <c r="Q5" s="8" t="inlineStr">
        <is>
          <t>1</t>
        </is>
      </c>
      <c r="R5" s="8" t="inlineStr">
        <is>
          <t>Bridges the link. 0 in max_per_trip means UNLIMITED. Its life is longer than a crossing on purpose: a segment must stay tappable until it leaves the bottom, never fade out mid-screen.</t>
        </is>
      </c>
    </row>
    <row r="6">
      <c r="A6" s="8" t="inlineStr">
        <is>
          <t>CRYSTAL_SHARD</t>
        </is>
      </c>
      <c r="B6" s="8" t="inlineStr">
        <is>
          <t>Crystal Shard</t>
        </is>
      </c>
      <c r="C6" s="8" t="inlineStr">
        <is>
          <t>CRYSTAL</t>
        </is>
      </c>
      <c r="D6" s="8" t="inlineStr">
        <is>
          <t>FLYBY</t>
        </is>
      </c>
      <c r="E6" s="8" t="inlineStr">
        <is>
          <t>0.10</t>
        </is>
      </c>
      <c r="F6" s="8" t="inlineStr">
        <is>
          <t>2</t>
        </is>
      </c>
      <c r="G6" s="8" t="inlineStr">
        <is>
          <t>0</t>
        </is>
      </c>
      <c r="H6" s="8" t="inlineStr">
        <is>
          <t>6</t>
        </is>
      </c>
      <c r="I6" s="8" t="inlineStr">
        <is>
          <t>9</t>
        </is>
      </c>
      <c r="J6" s="8" t="inlineStr">
        <is>
          <t>12</t>
        </is>
      </c>
      <c r="K6" s="8" t="inlineStr">
        <is>
          <t>1.0</t>
        </is>
      </c>
      <c r="L6" s="8" t="inlineStr">
        <is>
          <t>0</t>
        </is>
      </c>
      <c r="M6" s="8" t="inlineStr">
        <is>
          <t>CRYSTAL</t>
        </is>
      </c>
      <c r="N6" s="8" t="inlineStr">
        <is>
          <t>1</t>
        </is>
      </c>
      <c r="O6" s="8" t="inlineStr">
        <is>
          <t>0</t>
        </is>
      </c>
      <c r="P6" s="8" t="inlineStr"/>
      <c r="Q6" s="8" t="inlineStr">
        <is>
          <t>1</t>
        </is>
      </c>
      <c r="R6" s="8" t="inlineStr">
        <is>
          <t>A rotating prism in the line's own colour. Rare on purpose.</t>
        </is>
      </c>
    </row>
    <row r="7">
      <c r="A7" s="8" t="inlineStr">
        <is>
          <t>EMOTIONAL_ENTITY</t>
        </is>
      </c>
      <c r="B7" s="8" t="inlineStr">
        <is>
          <t>Emotional Entity</t>
        </is>
      </c>
      <c r="C7" s="8" t="inlineStr">
        <is>
          <t>ENEMY_PASSIVE</t>
        </is>
      </c>
      <c r="D7" s="8" t="inlineStr">
        <is>
          <t>PARALLEL</t>
        </is>
      </c>
      <c r="E7" s="8" t="inlineStr">
        <is>
          <t>0.40</t>
        </is>
      </c>
      <c r="F7" s="8" t="inlineStr">
        <is>
          <t>2</t>
        </is>
      </c>
      <c r="G7" s="8" t="inlineStr">
        <is>
          <t>4</t>
        </is>
      </c>
      <c r="H7" s="8" t="inlineStr">
        <is>
          <t>5.0</t>
        </is>
      </c>
      <c r="I7" s="8" t="inlineStr">
        <is>
          <t>15.0</t>
        </is>
      </c>
      <c r="J7" s="8" t="inlineStr">
        <is>
          <t>13</t>
        </is>
      </c>
      <c r="K7" s="8" t="inlineStr">
        <is>
          <t>0.45</t>
        </is>
      </c>
      <c r="L7" s="8" t="inlineStr">
        <is>
          <t>0</t>
        </is>
      </c>
      <c r="M7" s="8" t="inlineStr">
        <is>
          <t>NONE</t>
        </is>
      </c>
      <c r="N7" s="8" t="inlineStr">
        <is>
          <t>0</t>
        </is>
      </c>
      <c r="O7" s="8" t="inlineStr">
        <is>
          <t>0</t>
        </is>
      </c>
      <c r="P7" s="8" t="inlineStr"/>
      <c r="Q7" s="8" t="inlineStr">
        <is>
          <t>1</t>
        </is>
      </c>
      <c r="R7" s="8" t="inlineStr">
        <is>
          <t>Floats past. Tap to pick the fight; ignore it and it leaves. Carries the whole enemy share of a roll now that nothing forces a fight on the track.</t>
        </is>
      </c>
    </row>
    <row r="8">
      <c r="A8" s="8" t="inlineStr">
        <is>
          <t>STAMINA_ORB</t>
        </is>
      </c>
      <c r="B8" s="8" t="inlineStr">
        <is>
          <t>Stamina Orb</t>
        </is>
      </c>
      <c r="C8" s="8" t="inlineStr">
        <is>
          <t>ORB</t>
        </is>
      </c>
      <c r="D8" s="8" t="inlineStr">
        <is>
          <t>FLYBY</t>
        </is>
      </c>
      <c r="E8" s="8" t="inlineStr">
        <is>
          <t>0.1</t>
        </is>
      </c>
      <c r="F8" s="8" t="inlineStr">
        <is>
          <t>2</t>
        </is>
      </c>
      <c r="G8" s="8" t="inlineStr">
        <is>
          <t>0</t>
        </is>
      </c>
      <c r="H8" s="8" t="inlineStr">
        <is>
          <t>6</t>
        </is>
      </c>
      <c r="I8" s="8" t="inlineStr">
        <is>
          <t>9</t>
        </is>
      </c>
      <c r="J8" s="8" t="inlineStr">
        <is>
          <t>12</t>
        </is>
      </c>
      <c r="K8" s="8" t="inlineStr">
        <is>
          <t>1.0</t>
        </is>
      </c>
      <c r="L8" s="8" t="inlineStr">
        <is>
          <t>0</t>
        </is>
      </c>
      <c r="M8" s="8" t="inlineStr">
        <is>
          <t>MS</t>
        </is>
      </c>
      <c r="N8" s="8" t="inlineStr">
        <is>
          <t>10</t>
        </is>
      </c>
      <c r="O8" s="8" t="inlineStr">
        <is>
          <t>0</t>
        </is>
      </c>
      <c r="P8" s="8" t="inlineStr"/>
      <c r="Q8" s="8" t="inlineStr">
        <is>
          <t>1</t>
        </is>
      </c>
      <c r="R8" s="8" t="inlineStr">
        <is>
          <t>Gives back `amount` PERCENT of MaxMS. Only meaningful mid-ride, which is the only time MS moves - on the map it is restored in full anyway.</t>
        </is>
      </c>
    </row>
    <row r="9">
      <c r="A9" s="8" t="inlineStr">
        <is>
          <t>ENERGY_TRIANGLE</t>
        </is>
      </c>
      <c r="B9" s="8" t="inlineStr">
        <is>
          <t>Energy Triangle</t>
        </is>
      </c>
      <c r="C9" s="8" t="inlineStr">
        <is>
          <t>ENERGY</t>
        </is>
      </c>
      <c r="D9" s="8" t="inlineStr">
        <is>
          <t>FLYBY</t>
        </is>
      </c>
      <c r="E9" s="8" t="inlineStr">
        <is>
          <t>0.25</t>
        </is>
      </c>
      <c r="F9" s="8" t="inlineStr">
        <is>
          <t>3</t>
        </is>
      </c>
      <c r="G9" s="8" t="inlineStr">
        <is>
          <t>0</t>
        </is>
      </c>
      <c r="H9" s="8" t="inlineStr">
        <is>
          <t>5</t>
        </is>
      </c>
      <c r="I9" s="8" t="inlineStr">
        <is>
          <t>8</t>
        </is>
      </c>
      <c r="J9" s="8" t="inlineStr">
        <is>
          <t>12</t>
        </is>
      </c>
      <c r="K9" s="8" t="inlineStr">
        <is>
          <t>1.75</t>
        </is>
      </c>
      <c r="L9" s="8" t="inlineStr">
        <is>
          <t>0</t>
        </is>
      </c>
      <c r="M9" s="8" t="inlineStr">
        <is>
          <t>EC</t>
        </is>
      </c>
      <c r="N9" s="8" t="inlineStr">
        <is>
          <t>20</t>
        </is>
      </c>
      <c r="O9" s="8" t="inlineStr">
        <is>
          <t>0</t>
        </is>
      </c>
      <c r="P9" s="8" t="inlineStr"/>
      <c r="Q9" s="8" t="inlineStr">
        <is>
          <t>1</t>
        </is>
      </c>
      <c r="R9" s="8" t="inlineStr">
        <is>
          <t>Gives back `amount` EC flat. Falls FAST (high drift) and flashes through every emotion, because it is not any one of them. Capped so a ride can never overload the player.</t>
        </is>
      </c>
    </row>
  </sheetData>
  <mergeCells count="1">
    <mergeCell ref="A1:R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12" customWidth="1" min="3" max="3"/>
    <col width="11" customWidth="1" min="4" max="4"/>
    <col width="11" customWidth="1" min="5" max="5"/>
    <col width="12" customWidth="1" min="6" max="6"/>
    <col width="46" customWidth="1" min="7" max="7"/>
  </cols>
  <sheetData>
    <row r="1">
      <c r="A1" s="4" t="inlineStr">
        <is>
          <t>PLACEHOLDERS. Item design is not written yet — these exist so the roll-and-lose machinery has something to roll. `weight` is relative drop likelihood.</t>
        </is>
      </c>
    </row>
    <row r="3">
      <c r="A3" s="5" t="inlineStr">
        <is>
          <t>id</t>
        </is>
      </c>
      <c r="B3" s="5" t="inlineStr">
        <is>
          <t>name</t>
        </is>
      </c>
      <c r="C3" s="5" t="inlineStr">
        <is>
          <t>emotion</t>
        </is>
      </c>
      <c r="D3" s="5" t="inlineStr">
        <is>
          <t>weight</t>
        </is>
      </c>
      <c r="E3" s="5" t="inlineStr">
        <is>
          <t>cost</t>
        </is>
      </c>
      <c r="F3" s="5" t="inlineStr">
        <is>
          <t>enabled</t>
        </is>
      </c>
      <c r="G3" s="5" t="inlineStr">
        <is>
          <t>notes</t>
        </is>
      </c>
    </row>
    <row r="4">
      <c r="A4" s="6" t="inlineStr">
        <is>
          <t>LIVE</t>
        </is>
      </c>
      <c r="B4" s="6" t="inlineStr">
        <is>
          <t>LIVE</t>
        </is>
      </c>
      <c r="C4" s="6" t="inlineStr">
        <is>
          <t>LIVE</t>
        </is>
      </c>
      <c r="D4" s="6" t="inlineStr">
        <is>
          <t>LIVE</t>
        </is>
      </c>
      <c r="E4" s="7" t="inlineStr">
        <is>
          <t>planned</t>
        </is>
      </c>
      <c r="F4" s="6" t="inlineStr">
        <is>
          <t>LIVE</t>
        </is>
      </c>
      <c r="G4" s="7" t="inlineStr">
        <is>
          <t>planned</t>
        </is>
      </c>
    </row>
    <row r="5"/>
  </sheetData>
  <mergeCells count="1">
    <mergeCell ref="A1:G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1" customWidth="1" min="3" max="3"/>
    <col width="11" customWidth="1" min="4" max="4"/>
    <col width="11" customWidth="1" min="5" max="5"/>
    <col width="11" customWidth="1" min="6" max="6"/>
    <col width="11" customWidth="1" min="7" max="7"/>
    <col width="11" customWidth="1" min="8" max="8"/>
    <col width="16" customWidth="1" min="9" max="9"/>
    <col width="24" customWidth="1" min="10" max="10"/>
    <col width="14" customWidth="1" min="11" max="11"/>
    <col width="12" customWidth="1" min="12" max="12"/>
    <col width="46" customWidth="1" min="13" max="13"/>
  </cols>
  <sheetData>
    <row r="1">
      <c r="A1" s="4" t="inlineStr">
        <is>
          <t>Emotional Armor. `ms_mod` is ADDED to the player's base MaxMS; layer1..layer4 are the Emotional Layers it grants in battle, outermost first (blank = none, and a gap ends the run). One passive per piece. The ceiling is `maxLayers`, not the number of columns - add layer5 here and in layersOf() the day a piece needs it. cost/trade_in are for the Wandering Store, which is not built yet.</t>
        </is>
      </c>
    </row>
    <row r="3">
      <c r="A3" s="5" t="inlineStr">
        <is>
          <t>id</t>
        </is>
      </c>
      <c r="B3" s="5" t="inlineStr">
        <is>
          <t>name</t>
        </is>
      </c>
      <c r="C3" s="5" t="inlineStr">
        <is>
          <t>tier</t>
        </is>
      </c>
      <c r="D3" s="5" t="inlineStr">
        <is>
          <t>ms_mod</t>
        </is>
      </c>
      <c r="E3" s="5" t="inlineStr">
        <is>
          <t>layer1</t>
        </is>
      </c>
      <c r="F3" s="5" t="inlineStr">
        <is>
          <t>layer2</t>
        </is>
      </c>
      <c r="G3" s="5" t="inlineStr">
        <is>
          <t>layer3</t>
        </is>
      </c>
      <c r="H3" s="5" t="inlineStr">
        <is>
          <t>layer4</t>
        </is>
      </c>
      <c r="I3" s="5" t="inlineStr">
        <is>
          <t>passive</t>
        </is>
      </c>
      <c r="J3" s="5" t="inlineStr">
        <is>
          <t>cost</t>
        </is>
      </c>
      <c r="K3" s="5" t="inlineStr">
        <is>
          <t>trade_in</t>
        </is>
      </c>
      <c r="L3" s="5" t="inlineStr">
        <is>
          <t>enabled</t>
        </is>
      </c>
      <c r="M3" s="5" t="inlineStr">
        <is>
          <t>notes</t>
        </is>
      </c>
    </row>
    <row r="4">
      <c r="A4" s="6" t="inlineStr">
        <is>
          <t>LIVE</t>
        </is>
      </c>
      <c r="B4" s="6" t="inlineStr">
        <is>
          <t>LIVE</t>
        </is>
      </c>
      <c r="C4" s="6" t="inlineStr">
        <is>
          <t>LIVE</t>
        </is>
      </c>
      <c r="D4" s="6" t="inlineStr">
        <is>
          <t>LIVE</t>
        </is>
      </c>
      <c r="E4" s="6" t="inlineStr">
        <is>
          <t>LIVE</t>
        </is>
      </c>
      <c r="F4" s="6" t="inlineStr">
        <is>
          <t>LIVE</t>
        </is>
      </c>
      <c r="G4" s="6" t="inlineStr">
        <is>
          <t>LIVE</t>
        </is>
      </c>
      <c r="H4" s="6" t="inlineStr">
        <is>
          <t>LIVE</t>
        </is>
      </c>
      <c r="I4" s="6" t="inlineStr">
        <is>
          <t>LIVE</t>
        </is>
      </c>
      <c r="J4" s="6" t="inlineStr">
        <is>
          <t>LIVE</t>
        </is>
      </c>
      <c r="K4" s="6" t="inlineStr">
        <is>
          <t>LIVE</t>
        </is>
      </c>
      <c r="L4" s="6" t="inlineStr">
        <is>
          <t>LIVE</t>
        </is>
      </c>
      <c r="M4" s="7" t="inlineStr">
        <is>
          <t>planned</t>
        </is>
      </c>
    </row>
    <row r="5">
      <c r="A5" s="8" t="inlineStr">
        <is>
          <t>ARM_SCARS</t>
        </is>
      </c>
      <c r="B5" s="8" t="inlineStr">
        <is>
          <t>Calloused Scars</t>
        </is>
      </c>
      <c r="C5" s="8" t="inlineStr">
        <is>
          <t>1</t>
        </is>
      </c>
      <c r="D5" s="8" t="inlineStr">
        <is>
          <t>80</t>
        </is>
      </c>
      <c r="E5" s="8" t="inlineStr">
        <is>
          <t>ANGER</t>
        </is>
      </c>
      <c r="F5" s="8" t="inlineStr"/>
      <c r="G5" s="8" t="inlineStr"/>
      <c r="H5" s="8" t="inlineStr"/>
      <c r="I5" s="8" t="inlineStr">
        <is>
          <t>PAS_THICKSKIN</t>
        </is>
      </c>
      <c r="J5" s="8" t="inlineStr"/>
      <c r="K5" s="8" t="inlineStr"/>
      <c r="L5" s="8" t="inlineStr">
        <is>
          <t>1</t>
        </is>
      </c>
      <c r="M5" s="8" t="inlineStr">
        <is>
          <t>Starter. One layer, and it is the one that hits back.</t>
        </is>
      </c>
    </row>
    <row r="6">
      <c r="A6" s="8" t="inlineStr">
        <is>
          <t>ARM_SHELL</t>
        </is>
      </c>
      <c r="B6" s="8" t="inlineStr">
        <is>
          <t>Apathetic Shell</t>
        </is>
      </c>
      <c r="C6" s="8" t="inlineStr">
        <is>
          <t>2</t>
        </is>
      </c>
      <c r="D6" s="8" t="inlineStr">
        <is>
          <t>120</t>
        </is>
      </c>
      <c r="E6" s="8" t="inlineStr">
        <is>
          <t>DISGUST</t>
        </is>
      </c>
      <c r="F6" s="8" t="inlineStr">
        <is>
          <t>FEAR</t>
        </is>
      </c>
      <c r="G6" s="8" t="inlineStr"/>
      <c r="H6" s="8" t="inlineStr"/>
      <c r="I6" s="8" t="inlineStr">
        <is>
          <t>PAS_NUMB</t>
        </is>
      </c>
      <c r="J6" s="8" t="inlineStr">
        <is>
          <t>120 DISGUST + 60 FEAR</t>
        </is>
      </c>
      <c r="K6" s="8" t="inlineStr">
        <is>
          <t>ARM_SCARS</t>
        </is>
      </c>
      <c r="L6" s="8" t="inlineStr">
        <is>
          <t>1</t>
        </is>
      </c>
      <c r="M6" s="8" t="inlineStr">
        <is>
          <t>Two layers. Slow to feel anything, which is the point.</t>
        </is>
      </c>
    </row>
    <row r="7">
      <c r="A7" s="8" t="inlineStr">
        <is>
          <t>ARM_GLASSES</t>
        </is>
      </c>
      <c r="B7" s="8" t="inlineStr">
        <is>
          <t>Rose-Tinted Glasses</t>
        </is>
      </c>
      <c r="C7" s="8" t="inlineStr">
        <is>
          <t>2</t>
        </is>
      </c>
      <c r="D7" s="8" t="inlineStr">
        <is>
          <t>60</t>
        </is>
      </c>
      <c r="E7" s="8" t="inlineStr">
        <is>
          <t>JOY</t>
        </is>
      </c>
      <c r="F7" s="8" t="inlineStr">
        <is>
          <t>SURPRISE</t>
        </is>
      </c>
      <c r="G7" s="8" t="inlineStr"/>
      <c r="H7" s="8" t="inlineStr"/>
      <c r="I7" s="8" t="inlineStr">
        <is>
          <t>PAS_DENIAL</t>
        </is>
      </c>
      <c r="J7" s="8" t="inlineStr">
        <is>
          <t>140 JOY + 40 SURPRISE</t>
        </is>
      </c>
      <c r="K7" s="8" t="inlineStr">
        <is>
          <t>ARM_SCARS</t>
        </is>
      </c>
      <c r="L7" s="8" t="inlineStr">
        <is>
          <t>1</t>
        </is>
      </c>
      <c r="M7" s="8" t="inlineStr">
        <is>
          <t>Least stamina, brightest layers.</t>
        </is>
      </c>
    </row>
    <row r="8">
      <c r="A8" s="8" t="inlineStr">
        <is>
          <t>ARM_SHOULDERS</t>
        </is>
      </c>
      <c r="B8" s="8" t="inlineStr">
        <is>
          <t>Heavy Shoulders</t>
        </is>
      </c>
      <c r="C8" s="8" t="inlineStr">
        <is>
          <t>3</t>
        </is>
      </c>
      <c r="D8" s="8" t="inlineStr">
        <is>
          <t>150</t>
        </is>
      </c>
      <c r="E8" s="8" t="inlineStr">
        <is>
          <t>SADNESS</t>
        </is>
      </c>
      <c r="F8" s="8" t="inlineStr">
        <is>
          <t>ANGER</t>
        </is>
      </c>
      <c r="G8" s="8" t="inlineStr"/>
      <c r="H8" s="8" t="inlineStr"/>
      <c r="I8" s="8" t="inlineStr">
        <is>
          <t>PAS_ENDURE</t>
        </is>
      </c>
      <c r="J8" s="8" t="inlineStr">
        <is>
          <t>220 SADNESS + 90 ANGER</t>
        </is>
      </c>
      <c r="K8" s="8" t="inlineStr">
        <is>
          <t>ARM_SHELL</t>
        </is>
      </c>
      <c r="L8" s="8" t="inlineStr">
        <is>
          <t>1</t>
        </is>
      </c>
      <c r="M8" s="8" t="inlineStr">
        <is>
          <t>Carries the most and moves the slowest.</t>
        </is>
      </c>
    </row>
    <row r="9">
      <c r="A9" s="8" t="inlineStr">
        <is>
          <t>ARM_STATIC</t>
        </is>
      </c>
      <c r="B9" s="8" t="inlineStr">
        <is>
          <t>Static Coat</t>
        </is>
      </c>
      <c r="C9" s="8" t="inlineStr">
        <is>
          <t>2</t>
        </is>
      </c>
      <c r="D9" s="8" t="inlineStr">
        <is>
          <t>100</t>
        </is>
      </c>
      <c r="E9" s="8" t="inlineStr">
        <is>
          <t>DISGUST</t>
        </is>
      </c>
      <c r="F9" s="8" t="inlineStr">
        <is>
          <t>SURPRISE</t>
        </is>
      </c>
      <c r="G9" s="8" t="inlineStr">
        <is>
          <t>SURPRISE</t>
        </is>
      </c>
      <c r="H9" s="8" t="inlineStr"/>
      <c r="I9" s="8" t="inlineStr">
        <is>
          <t>PAS_NUMB</t>
        </is>
      </c>
      <c r="J9" s="8" t="inlineStr"/>
      <c r="K9" s="8" t="inlineStr"/>
      <c r="L9" s="8" t="inlineStr">
        <is>
          <t>1</t>
        </is>
      </c>
      <c r="M9" s="8" t="inlineStr">
        <is>
          <t>Three layers, which is why the sheet has a layer3 column at all. One of Disgust under two of Surprise.</t>
        </is>
      </c>
    </row>
    <row r="10">
      <c r="A10" s="8" t="inlineStr">
        <is>
          <t>ARM_FONDO</t>
        </is>
      </c>
      <c r="B10" s="8" t="inlineStr">
        <is>
          <t>The Terminus Coat</t>
        </is>
      </c>
      <c r="C10" s="8" t="inlineStr">
        <is>
          <t>4</t>
        </is>
      </c>
      <c r="D10" s="8" t="inlineStr">
        <is>
          <t>140</t>
        </is>
      </c>
      <c r="E10" s="8" t="inlineStr">
        <is>
          <t>ANGER</t>
        </is>
      </c>
      <c r="F10" s="8" t="inlineStr">
        <is>
          <t>ANGER</t>
        </is>
      </c>
      <c r="G10" s="8" t="inlineStr">
        <is>
          <t>ANGER</t>
        </is>
      </c>
      <c r="H10" s="8" t="inlineStr">
        <is>
          <t>ANGER</t>
        </is>
      </c>
      <c r="I10" s="8" t="inlineStr">
        <is>
          <t>PAS_THICKSKIN</t>
        </is>
      </c>
      <c r="J10" s="8" t="inlineStr"/>
      <c r="K10" s="8" t="inlineStr"/>
      <c r="L10" s="8" t="inlineStr">
        <is>
          <t>1</t>
        </is>
      </c>
      <c r="M10" s="8" t="inlineStr">
        <is>
          <t>EARNED, NOT SOLD - the Fondo boss leaves it, which is why it has no cost. Four layers of one emotion: everything Anger throws at you is halved and charges you, and everything else goes straight through four times over. The most committed piece in the game, and the reason the sheet has a layer4 column.</t>
        </is>
      </c>
    </row>
  </sheetData>
  <mergeCells count="1">
    <mergeCell ref="A1:M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14" customWidth="1" min="3" max="3"/>
    <col width="12" customWidth="1" min="4" max="4"/>
    <col width="14" customWidth="1" min="5" max="5"/>
    <col width="11" customWidth="1" min="6" max="6"/>
    <col width="12" customWidth="1" min="7" max="7"/>
    <col width="11" customWidth="1" min="8" max="8"/>
    <col width="18" customWidth="1" min="9" max="9"/>
    <col width="13" customWidth="1" min="10" max="10"/>
    <col width="12" customWidth="1" min="11" max="11"/>
    <col width="42" customWidth="1" min="12" max="12"/>
  </cols>
  <sheetData>
    <row r="1">
      <c r="A1" s="4" t="inlineStr">
        <is>
          <t>day / hour / weather -&gt; multipliers on a station's live attributes. EVERY matching row multiplies, so BASE is the floor and the rest stack onto it. Hours are Barcelona local, to_hour exclusive, and a band may wrap past midnight. Weather comes from WorldState (stubbed today, a real API later).</t>
        </is>
      </c>
    </row>
    <row r="3">
      <c r="A3" s="5" t="inlineStr">
        <is>
          <t>id</t>
        </is>
      </c>
      <c r="B3" s="5" t="inlineStr">
        <is>
          <t>day</t>
        </is>
      </c>
      <c r="C3" s="5" t="inlineStr">
        <is>
          <t>from_hour</t>
        </is>
      </c>
      <c r="D3" s="5" t="inlineStr">
        <is>
          <t>to_hour</t>
        </is>
      </c>
      <c r="E3" s="5" t="inlineStr">
        <is>
          <t>weather</t>
        </is>
      </c>
      <c r="F3" s="5" t="inlineStr">
        <is>
          <t>fog</t>
        </is>
      </c>
      <c r="G3" s="5" t="inlineStr">
        <is>
          <t>density</t>
        </is>
      </c>
      <c r="H3" s="5" t="inlineStr">
        <is>
          <t>aggro</t>
        </is>
      </c>
      <c r="I3" s="5" t="inlineStr">
        <is>
          <t>diltransience</t>
        </is>
      </c>
      <c r="J3" s="5" t="inlineStr">
        <is>
          <t>priority</t>
        </is>
      </c>
      <c r="K3" s="5" t="inlineStr">
        <is>
          <t>enabled</t>
        </is>
      </c>
      <c r="L3" s="5" t="inlineStr">
        <is>
          <t>notes</t>
        </is>
      </c>
    </row>
    <row r="4">
      <c r="A4" s="6" t="inlineStr">
        <is>
          <t>LIVE</t>
        </is>
      </c>
      <c r="B4" s="6" t="inlineStr">
        <is>
          <t>LIVE</t>
        </is>
      </c>
      <c r="C4" s="6" t="inlineStr">
        <is>
          <t>LIVE</t>
        </is>
      </c>
      <c r="D4" s="6" t="inlineStr">
        <is>
          <t>LIVE</t>
        </is>
      </c>
      <c r="E4" s="6" t="inlineStr">
        <is>
          <t>LIVE</t>
        </is>
      </c>
      <c r="F4" s="6" t="inlineStr">
        <is>
          <t>LIVE</t>
        </is>
      </c>
      <c r="G4" s="6" t="inlineStr">
        <is>
          <t>LIVE</t>
        </is>
      </c>
      <c r="H4" s="6" t="inlineStr">
        <is>
          <t>LIVE</t>
        </is>
      </c>
      <c r="I4" s="6" t="inlineStr">
        <is>
          <t>LIVE</t>
        </is>
      </c>
      <c r="J4" s="7" t="inlineStr">
        <is>
          <t>planned</t>
        </is>
      </c>
      <c r="K4" s="6" t="inlineStr">
        <is>
          <t>LIVE</t>
        </is>
      </c>
      <c r="L4" s="7" t="inlineStr">
        <is>
          <t>planned</t>
        </is>
      </c>
    </row>
    <row r="5">
      <c r="A5" s="8" t="inlineStr">
        <is>
          <t>BASE</t>
        </is>
      </c>
      <c r="B5" s="8" t="inlineStr">
        <is>
          <t>*</t>
        </is>
      </c>
      <c r="C5" s="8" t="inlineStr">
        <is>
          <t>0</t>
        </is>
      </c>
      <c r="D5" s="8" t="inlineStr">
        <is>
          <t>24</t>
        </is>
      </c>
      <c r="E5" s="8" t="inlineStr">
        <is>
          <t>*</t>
        </is>
      </c>
      <c r="F5" s="8" t="inlineStr">
        <is>
          <t>1</t>
        </is>
      </c>
      <c r="G5" s="8" t="inlineStr">
        <is>
          <t>1</t>
        </is>
      </c>
      <c r="H5" s="8" t="inlineStr">
        <is>
          <t>1</t>
        </is>
      </c>
      <c r="I5" s="8" t="inlineStr">
        <is>
          <t>1</t>
        </is>
      </c>
      <c r="J5" s="8" t="inlineStr">
        <is>
          <t>0</t>
        </is>
      </c>
      <c r="K5" s="8" t="inlineStr">
        <is>
          <t>1</t>
        </is>
      </c>
      <c r="L5" s="8" t="inlineStr">
        <is>
          <t>The floor everything else multiplies onto.</t>
        </is>
      </c>
    </row>
    <row r="6">
      <c r="A6" s="8" t="inlineStr">
        <is>
          <t>NIGHT</t>
        </is>
      </c>
      <c r="B6" s="8" t="inlineStr">
        <is>
          <t>*</t>
        </is>
      </c>
      <c r="C6" s="8" t="inlineStr">
        <is>
          <t>23</t>
        </is>
      </c>
      <c r="D6" s="8" t="inlineStr">
        <is>
          <t>5</t>
        </is>
      </c>
      <c r="E6" s="8" t="inlineStr">
        <is>
          <t>*</t>
        </is>
      </c>
      <c r="F6" s="8" t="inlineStr">
        <is>
          <t>1.8</t>
        </is>
      </c>
      <c r="G6" s="8" t="inlineStr">
        <is>
          <t>1.35</t>
        </is>
      </c>
      <c r="H6" s="8" t="inlineStr">
        <is>
          <t>1.4</t>
        </is>
      </c>
      <c r="I6" s="8" t="inlineStr">
        <is>
          <t>1.15</t>
        </is>
      </c>
      <c r="J6" s="8" t="inlineStr">
        <is>
          <t>2</t>
        </is>
      </c>
      <c r="K6" s="8" t="inlineStr">
        <is>
          <t>1</t>
        </is>
      </c>
      <c r="L6" s="8" t="inlineStr">
        <is>
          <t>Late trains. Thicker, meaner, longer.</t>
        </is>
      </c>
    </row>
    <row r="7">
      <c r="A7" s="8" t="inlineStr">
        <is>
          <t>DAWN</t>
        </is>
      </c>
      <c r="B7" s="8" t="inlineStr">
        <is>
          <t>*</t>
        </is>
      </c>
      <c r="C7" s="8" t="inlineStr">
        <is>
          <t>5</t>
        </is>
      </c>
      <c r="D7" s="8" t="inlineStr">
        <is>
          <t>8</t>
        </is>
      </c>
      <c r="E7" s="8" t="inlineStr">
        <is>
          <t>*</t>
        </is>
      </c>
      <c r="F7" s="8" t="inlineStr">
        <is>
          <t>1.3</t>
        </is>
      </c>
      <c r="G7" s="8" t="inlineStr">
        <is>
          <t>0.8</t>
        </is>
      </c>
      <c r="H7" s="8" t="inlineStr">
        <is>
          <t>0.7</t>
        </is>
      </c>
      <c r="I7" s="8" t="inlineStr">
        <is>
          <t>0.95</t>
        </is>
      </c>
      <c r="J7" s="8" t="inlineStr">
        <is>
          <t>2</t>
        </is>
      </c>
      <c r="K7" s="8" t="inlineStr">
        <is>
          <t>1</t>
        </is>
      </c>
      <c r="L7" s="8" t="inlineStr">
        <is>
          <t>Thin crowds, low threat.</t>
        </is>
      </c>
    </row>
    <row r="8">
      <c r="A8" s="8" t="inlineStr">
        <is>
          <t>RUSH_AM</t>
        </is>
      </c>
      <c r="B8" s="8" t="inlineStr">
        <is>
          <t>MON|TUE|WED|THU|FRI</t>
        </is>
      </c>
      <c r="C8" s="8" t="inlineStr">
        <is>
          <t>8</t>
        </is>
      </c>
      <c r="D8" s="8" t="inlineStr">
        <is>
          <t>10</t>
        </is>
      </c>
      <c r="E8" s="8" t="inlineStr">
        <is>
          <t>*</t>
        </is>
      </c>
      <c r="F8" s="8" t="inlineStr">
        <is>
          <t>0.8</t>
        </is>
      </c>
      <c r="G8" s="8" t="inlineStr">
        <is>
          <t>1.25</t>
        </is>
      </c>
      <c r="H8" s="8" t="inlineStr">
        <is>
          <t>1.1</t>
        </is>
      </c>
      <c r="I8" s="8" t="inlineStr">
        <is>
          <t>0.9</t>
        </is>
      </c>
      <c r="J8" s="8" t="inlineStr">
        <is>
          <t>3</t>
        </is>
      </c>
      <c r="K8" s="8" t="inlineStr">
        <is>
          <t>1</t>
        </is>
      </c>
      <c r="L8" s="8" t="inlineStr">
        <is>
          <t>Packed and quick.</t>
        </is>
      </c>
    </row>
    <row r="9">
      <c r="A9" s="8" t="inlineStr">
        <is>
          <t>RUSH_PM</t>
        </is>
      </c>
      <c r="B9" s="8" t="inlineStr">
        <is>
          <t>MON|TUE|WED|THU|FRI</t>
        </is>
      </c>
      <c r="C9" s="8" t="inlineStr">
        <is>
          <t>18</t>
        </is>
      </c>
      <c r="D9" s="8" t="inlineStr">
        <is>
          <t>21</t>
        </is>
      </c>
      <c r="E9" s="8" t="inlineStr">
        <is>
          <t>*</t>
        </is>
      </c>
      <c r="F9" s="8" t="inlineStr">
        <is>
          <t>0.9</t>
        </is>
      </c>
      <c r="G9" s="8" t="inlineStr">
        <is>
          <t>1.3</t>
        </is>
      </c>
      <c r="H9" s="8" t="inlineStr">
        <is>
          <t>1.2</t>
        </is>
      </c>
      <c r="I9" s="8" t="inlineStr">
        <is>
          <t>0.9</t>
        </is>
      </c>
      <c r="J9" s="8" t="inlineStr">
        <is>
          <t>3</t>
        </is>
      </c>
      <c r="K9" s="8" t="inlineStr">
        <is>
          <t>1</t>
        </is>
      </c>
      <c r="L9" s="8" t="inlineStr">
        <is>
          <t>Packed and fraying.</t>
        </is>
      </c>
    </row>
    <row r="10">
      <c r="A10" s="8" t="inlineStr">
        <is>
          <t>WEEKEND</t>
        </is>
      </c>
      <c r="B10" s="8" t="inlineStr">
        <is>
          <t>SAT|SUN</t>
        </is>
      </c>
      <c r="C10" s="8" t="inlineStr">
        <is>
          <t>0</t>
        </is>
      </c>
      <c r="D10" s="8" t="inlineStr">
        <is>
          <t>24</t>
        </is>
      </c>
      <c r="E10" s="8" t="inlineStr">
        <is>
          <t>*</t>
        </is>
      </c>
      <c r="F10" s="8" t="inlineStr">
        <is>
          <t>1.1</t>
        </is>
      </c>
      <c r="G10" s="8" t="inlineStr">
        <is>
          <t>0.9</t>
        </is>
      </c>
      <c r="H10" s="8" t="inlineStr">
        <is>
          <t>0.85</t>
        </is>
      </c>
      <c r="I10" s="8" t="inlineStr">
        <is>
          <t>1.1</t>
        </is>
      </c>
      <c r="J10" s="8" t="inlineStr">
        <is>
          <t>1</t>
        </is>
      </c>
      <c r="K10" s="8" t="inlineStr">
        <is>
          <t>1</t>
        </is>
      </c>
      <c r="L10" s="8" t="inlineStr">
        <is>
          <t>Slower, stranger.</t>
        </is>
      </c>
    </row>
    <row r="11">
      <c r="A11" s="8" t="inlineStr">
        <is>
          <t>RAIN</t>
        </is>
      </c>
      <c r="B11" s="8" t="inlineStr">
        <is>
          <t>*</t>
        </is>
      </c>
      <c r="C11" s="8" t="inlineStr">
        <is>
          <t>0</t>
        </is>
      </c>
      <c r="D11" s="8" t="inlineStr">
        <is>
          <t>24</t>
        </is>
      </c>
      <c r="E11" s="8" t="inlineStr">
        <is>
          <t>RAIN</t>
        </is>
      </c>
      <c r="F11" s="8" t="inlineStr">
        <is>
          <t>1.6</t>
        </is>
      </c>
      <c r="G11" s="8" t="inlineStr">
        <is>
          <t>1.1</t>
        </is>
      </c>
      <c r="H11" s="8" t="inlineStr">
        <is>
          <t>1.05</t>
        </is>
      </c>
      <c r="I11" s="8" t="inlineStr">
        <is>
          <t>1.2</t>
        </is>
      </c>
      <c r="J11" s="8" t="inlineStr">
        <is>
          <t>4</t>
        </is>
      </c>
      <c r="K11" s="8" t="inlineStr">
        <is>
          <t>1</t>
        </is>
      </c>
      <c r="L11" s="8" t="inlineStr">
        <is>
          <t>Wet track. Poor visibility.</t>
        </is>
      </c>
    </row>
    <row r="12">
      <c r="A12" s="8" t="inlineStr">
        <is>
          <t>STORM</t>
        </is>
      </c>
      <c r="B12" s="8" t="inlineStr">
        <is>
          <t>*</t>
        </is>
      </c>
      <c r="C12" s="8" t="inlineStr">
        <is>
          <t>0</t>
        </is>
      </c>
      <c r="D12" s="8" t="inlineStr">
        <is>
          <t>24</t>
        </is>
      </c>
      <c r="E12" s="8" t="inlineStr">
        <is>
          <t>STORM</t>
        </is>
      </c>
      <c r="F12" s="8" t="inlineStr">
        <is>
          <t>2.2</t>
        </is>
      </c>
      <c r="G12" s="8" t="inlineStr">
        <is>
          <t>1.4</t>
        </is>
      </c>
      <c r="H12" s="8" t="inlineStr">
        <is>
          <t>1.5</t>
        </is>
      </c>
      <c r="I12" s="8" t="inlineStr">
        <is>
          <t>1.35</t>
        </is>
      </c>
      <c r="J12" s="8" t="inlineStr">
        <is>
          <t>5</t>
        </is>
      </c>
      <c r="K12" s="8" t="inlineStr">
        <is>
          <t>1</t>
        </is>
      </c>
      <c r="L12" s="8" t="inlineStr">
        <is>
          <t>Everything is worse.</t>
        </is>
      </c>
    </row>
    <row r="13">
      <c r="A13" s="8" t="inlineStr">
        <is>
          <t>CLEAR</t>
        </is>
      </c>
      <c r="B13" s="8" t="inlineStr">
        <is>
          <t>*</t>
        </is>
      </c>
      <c r="C13" s="8" t="inlineStr">
        <is>
          <t>0</t>
        </is>
      </c>
      <c r="D13" s="8" t="inlineStr">
        <is>
          <t>24</t>
        </is>
      </c>
      <c r="E13" s="8" t="inlineStr">
        <is>
          <t>CLEAR</t>
        </is>
      </c>
      <c r="F13" s="8" t="inlineStr">
        <is>
          <t>0.85</t>
        </is>
      </c>
      <c r="G13" s="8" t="inlineStr">
        <is>
          <t>1</t>
        </is>
      </c>
      <c r="H13" s="8" t="inlineStr">
        <is>
          <t>1</t>
        </is>
      </c>
      <c r="I13" s="8" t="inlineStr">
        <is>
          <t>0.95</t>
        </is>
      </c>
      <c r="J13" s="8" t="inlineStr">
        <is>
          <t>4</t>
        </is>
      </c>
      <c r="K13" s="8" t="inlineStr">
        <is>
          <t>1</t>
        </is>
      </c>
      <c r="L13" s="8" t="inlineStr">
        <is>
          <t>You can see what is coming.</t>
        </is>
      </c>
    </row>
  </sheetData>
  <mergeCells count="1">
    <mergeCell ref="A1:L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20" customWidth="1" min="3" max="3"/>
    <col width="11" customWidth="1" min="4" max="4"/>
    <col width="16" customWidth="1" min="5" max="5"/>
    <col width="11" customWidth="1" min="6" max="6"/>
    <col width="26" customWidth="1" min="7" max="7"/>
    <col width="16" customWidth="1" min="8" max="8"/>
    <col width="12" customWidth="1" min="9" max="9"/>
    <col width="11" customWidth="1" min="10" max="10"/>
    <col width="11" customWidth="1" min="11" max="11"/>
    <col width="18" customWidth="1" min="12" max="12"/>
    <col width="56" customWidth="1" min="13" max="13"/>
    <col width="12" customWidth="1" min="14" max="14"/>
    <col width="46" customWidth="1" min="15" max="15"/>
  </cols>
  <sheetData>
    <row r="1">
      <c r="A1" s="4" t="inlineStr">
        <is>
          <t>CITY-WIDE CONDITIONS. A status is something happening to Barcelona that picks a SUBSET of the stations on the lines it names and changes them: their attributes multiply by the columns here, and the map paints `fx` around them. `hours` holds one or more Barcelona-local windows (7-10|17-20), to_hour exclusive, and a window may wrap past midnight. `share` is the fraction of eligible stations affected - WHICH ones comes from a hash of the station, the status and the current window, so every client picks the same set and it holds still until the window ends. `emotions` drives the colours the effect is drawn in (a mix reads as a mix); `blurb` is what the tag says when it is tapped.</t>
        </is>
      </c>
    </row>
    <row r="3">
      <c r="A3" s="5" t="inlineStr">
        <is>
          <t>id</t>
        </is>
      </c>
      <c r="B3" s="5" t="inlineStr">
        <is>
          <t>name</t>
        </is>
      </c>
      <c r="C3" s="5" t="inlineStr">
        <is>
          <t>emotions</t>
        </is>
      </c>
      <c r="D3" s="5" t="inlineStr">
        <is>
          <t>fx</t>
        </is>
      </c>
      <c r="E3" s="5" t="inlineStr">
        <is>
          <t>lines</t>
        </is>
      </c>
      <c r="F3" s="5" t="inlineStr">
        <is>
          <t>share</t>
        </is>
      </c>
      <c r="G3" s="5" t="inlineStr">
        <is>
          <t>day</t>
        </is>
      </c>
      <c r="H3" s="5" t="inlineStr">
        <is>
          <t>hours</t>
        </is>
      </c>
      <c r="I3" s="5" t="inlineStr">
        <is>
          <t>density</t>
        </is>
      </c>
      <c r="J3" s="5" t="inlineStr">
        <is>
          <t>aggro</t>
        </is>
      </c>
      <c r="K3" s="5" t="inlineStr">
        <is>
          <t>fog</t>
        </is>
      </c>
      <c r="L3" s="5" t="inlineStr">
        <is>
          <t>diltransience</t>
        </is>
      </c>
      <c r="M3" s="5" t="inlineStr">
        <is>
          <t>blurb</t>
        </is>
      </c>
      <c r="N3" s="5" t="inlineStr">
        <is>
          <t>enabled</t>
        </is>
      </c>
      <c r="O3" s="5" t="inlineStr">
        <is>
          <t>notes</t>
        </is>
      </c>
    </row>
    <row r="4">
      <c r="A4" s="6" t="inlineStr">
        <is>
          <t>LIVE</t>
        </is>
      </c>
      <c r="B4" s="6" t="inlineStr">
        <is>
          <t>LIVE</t>
        </is>
      </c>
      <c r="C4" s="6" t="inlineStr">
        <is>
          <t>LIVE</t>
        </is>
      </c>
      <c r="D4" s="6" t="inlineStr">
        <is>
          <t>LIVE</t>
        </is>
      </c>
      <c r="E4" s="6" t="inlineStr">
        <is>
          <t>LIVE</t>
        </is>
      </c>
      <c r="F4" s="6" t="inlineStr">
        <is>
          <t>LIVE</t>
        </is>
      </c>
      <c r="G4" s="7" t="inlineStr">
        <is>
          <t>planned</t>
        </is>
      </c>
      <c r="H4" s="6" t="inlineStr">
        <is>
          <t>LIVE</t>
        </is>
      </c>
      <c r="I4" s="7" t="inlineStr">
        <is>
          <t>planned</t>
        </is>
      </c>
      <c r="J4" s="7" t="inlineStr">
        <is>
          <t>planned</t>
        </is>
      </c>
      <c r="K4" s="7" t="inlineStr">
        <is>
          <t>planned</t>
        </is>
      </c>
      <c r="L4" s="7" t="inlineStr">
        <is>
          <t>planned</t>
        </is>
      </c>
      <c r="M4" s="7" t="inlineStr">
        <is>
          <t>planned</t>
        </is>
      </c>
      <c r="N4" s="6" t="inlineStr">
        <is>
          <t>LIVE</t>
        </is>
      </c>
      <c r="O4" s="7" t="inlineStr">
        <is>
          <t>planned</t>
        </is>
      </c>
    </row>
    <row r="5">
      <c r="A5" s="8" t="inlineStr">
        <is>
          <t>RUSH_HOUR</t>
        </is>
      </c>
      <c r="B5" s="8" t="inlineStr">
        <is>
          <t>Rush Hour</t>
        </is>
      </c>
      <c r="C5" s="8" t="inlineStr">
        <is>
          <t>DISGUST|ANGER</t>
        </is>
      </c>
      <c r="D5" s="8" t="inlineStr">
        <is>
          <t>RUSH</t>
        </is>
      </c>
      <c r="E5" s="8" t="inlineStr">
        <is>
          <t>L1|L2|L5</t>
        </is>
      </c>
      <c r="F5" s="8" t="inlineStr">
        <is>
          <t>0.4</t>
        </is>
      </c>
      <c r="G5" s="8" t="inlineStr">
        <is>
          <t>MON|TUE|WED|THU|FRI</t>
        </is>
      </c>
      <c r="H5" s="8" t="inlineStr">
        <is>
          <t>7-10|17-20</t>
        </is>
      </c>
      <c r="I5" s="8" t="inlineStr">
        <is>
          <t>1.6</t>
        </is>
      </c>
      <c r="J5" s="8" t="inlineStr">
        <is>
          <t>1.5</t>
        </is>
      </c>
      <c r="K5" s="8" t="inlineStr"/>
      <c r="L5" s="8" t="inlineStr"/>
      <c r="M5" s="8" t="inlineStr">
        <is>
          <t>The platforms are packed. Far more of them are out on the affected stretches, and they are quicker to take an interest.</t>
        </is>
      </c>
      <c r="N5" s="8" t="inlineStr">
        <is>
          <t>1</t>
        </is>
      </c>
      <c r="O5" s="8" t="inlineStr">
        <is>
          <t>The reference status, and the only one designed. Everything else waits on the design.</t>
        </is>
      </c>
    </row>
  </sheetData>
  <mergeCells count="1">
    <mergeCell ref="A1:O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16" customWidth="1" min="3" max="3"/>
    <col width="16" customWidth="1" min="4" max="4"/>
    <col width="20" customWidth="1" min="5" max="5"/>
    <col width="22" customWidth="1" min="6" max="6"/>
    <col width="11" customWidth="1" min="7" max="7"/>
    <col width="12" customWidth="1" min="8" max="8"/>
    <col width="12" customWidth="1" min="9" max="9"/>
    <col width="12" customWidth="1" min="10" max="10"/>
    <col width="56" customWidth="1" min="11" max="11"/>
    <col width="12" customWidth="1" min="12" max="12"/>
    <col width="56" customWidth="1" min="13" max="13"/>
  </cols>
  <sheetData>
    <row r="1">
      <c r="A1" s="4" t="inlineStr">
        <is>
          <t>PROGRESSION. One row per thing the player can earn, and the place they earn it. `station` is a stations-sheet id and is where the floating ? appears; `emotion` colour-codes that ?. `requirement` is the standard test - DEFEAT_BOSS is the only one implemented, and it means: travel to that station and beat the boss waiting there, who fights as `unit`. `reward` is a pipe list of KIND:ID - ARMOR:xxx and SET:xxx are added to what the profile owns (they still have to be equipped in the menu), KEY:L4 grants a Line Key. `once`=1 means the ? disappears for good once it is cleared. `hint` is what the station panel says about it before it is done. `card_tag` is the warning the station panel wears: ENTITY reads EXTREME EMOTIONAL DISTURBANCE, TREASURE reads OPPORTUNITY FOR TREASURE. Blank falls back to ENTITY when the row names a `unit` and TREASURE when it does not.</t>
        </is>
      </c>
    </row>
    <row r="3">
      <c r="A3" s="5" t="inlineStr">
        <is>
          <t>id</t>
        </is>
      </c>
      <c r="B3" s="5" t="inlineStr">
        <is>
          <t>name</t>
        </is>
      </c>
      <c r="C3" s="5" t="inlineStr">
        <is>
          <t>station</t>
        </is>
      </c>
      <c r="D3" s="5" t="inlineStr">
        <is>
          <t>requirement</t>
        </is>
      </c>
      <c r="E3" s="5" t="inlineStr">
        <is>
          <t>unit</t>
        </is>
      </c>
      <c r="F3" s="5" t="inlineStr">
        <is>
          <t>reward</t>
        </is>
      </c>
      <c r="G3" s="5" t="inlineStr">
        <is>
          <t>once</t>
        </is>
      </c>
      <c r="H3" s="5" t="inlineStr">
        <is>
          <t>marker</t>
        </is>
      </c>
      <c r="I3" s="5" t="inlineStr">
        <is>
          <t>emotion</t>
        </is>
      </c>
      <c r="J3" s="5" t="inlineStr">
        <is>
          <t>card_tag</t>
        </is>
      </c>
      <c r="K3" s="5" t="inlineStr">
        <is>
          <t>hint</t>
        </is>
      </c>
      <c r="L3" s="5" t="inlineStr">
        <is>
          <t>enabled</t>
        </is>
      </c>
      <c r="M3" s="5" t="inlineStr">
        <is>
          <t>notes</t>
        </is>
      </c>
    </row>
    <row r="4">
      <c r="A4" s="6" t="inlineStr">
        <is>
          <t>LIVE</t>
        </is>
      </c>
      <c r="B4" s="6" t="inlineStr">
        <is>
          <t>LIVE</t>
        </is>
      </c>
      <c r="C4" s="6" t="inlineStr">
        <is>
          <t>LIVE</t>
        </is>
      </c>
      <c r="D4" s="6" t="inlineStr">
        <is>
          <t>LIVE</t>
        </is>
      </c>
      <c r="E4" s="6" t="inlineStr">
        <is>
          <t>LIVE</t>
        </is>
      </c>
      <c r="F4" s="6" t="inlineStr">
        <is>
          <t>LIVE</t>
        </is>
      </c>
      <c r="G4" s="6" t="inlineStr">
        <is>
          <t>LIVE</t>
        </is>
      </c>
      <c r="H4" s="6" t="inlineStr">
        <is>
          <t>LIVE</t>
        </is>
      </c>
      <c r="I4" s="6" t="inlineStr">
        <is>
          <t>LIVE</t>
        </is>
      </c>
      <c r="J4" s="6" t="inlineStr">
        <is>
          <t>LIVE</t>
        </is>
      </c>
      <c r="K4" s="6" t="inlineStr">
        <is>
          <t>LIVE</t>
        </is>
      </c>
      <c r="L4" s="6" t="inlineStr">
        <is>
          <t>LIVE</t>
        </is>
      </c>
      <c r="M4" s="7" t="inlineStr">
        <is>
          <t>planned</t>
        </is>
      </c>
    </row>
    <row r="5">
      <c r="A5" s="8" t="inlineStr">
        <is>
          <t>OBJ_FONDO</t>
        </is>
      </c>
      <c r="B5" s="8" t="inlineStr">
        <is>
          <t>The Last of the Anger</t>
        </is>
      </c>
      <c r="C5" s="8" t="inlineStr">
        <is>
          <t>FONDO</t>
        </is>
      </c>
      <c r="D5" s="8" t="inlineStr">
        <is>
          <t>DEFEAT_BOSS</t>
        </is>
      </c>
      <c r="E5" s="8" t="inlineStr">
        <is>
          <t>boss_fondo</t>
        </is>
      </c>
      <c r="F5" s="8" t="inlineStr">
        <is>
          <t>ARMOR:ARM_FONDO</t>
        </is>
      </c>
      <c r="G5" s="8" t="inlineStr">
        <is>
          <t>1</t>
        </is>
      </c>
      <c r="H5" s="8" t="inlineStr">
        <is>
          <t>QUESTION</t>
        </is>
      </c>
      <c r="I5" s="8" t="inlineStr">
        <is>
          <t>ANGER</t>
        </is>
      </c>
      <c r="J5" s="8" t="inlineStr">
        <is>
          <t>ENTITY</t>
        </is>
      </c>
      <c r="K5" s="8" t="inlineStr">
        <is>
          <t>Something is still turning trains around up there, and still wearing every year of it.</t>
        </is>
      </c>
      <c r="L5" s="8" t="inlineStr">
        <is>
          <t>1</t>
        </is>
      </c>
      <c r="M5" s="8" t="inlineStr">
        <is>
          <t>The end of Line 1. Grants ARM_FONDO — four layers of Anger, which is more than any purchasable piece and the reason it is not purchasable.</t>
        </is>
      </c>
    </row>
    <row r="6">
      <c r="A6" s="8" t="inlineStr">
        <is>
          <t>OBJ_SANT_ANTONI</t>
        </is>
      </c>
      <c r="B6" s="8" t="inlineStr">
        <is>
          <t>Something For The Comedown</t>
        </is>
      </c>
      <c r="C6" s="8" t="inlineStr">
        <is>
          <t>SANT_ANTONI</t>
        </is>
      </c>
      <c r="D6" s="8" t="inlineStr">
        <is>
          <t>DEFEAT_BOSS</t>
        </is>
      </c>
      <c r="E6" s="8" t="inlineStr">
        <is>
          <t>boss_sant_antoni</t>
        </is>
      </c>
      <c r="F6" s="8" t="inlineStr">
        <is>
          <t>SET:LO_RUSH</t>
        </is>
      </c>
      <c r="G6" s="8" t="inlineStr">
        <is>
          <t>1</t>
        </is>
      </c>
      <c r="H6" s="8" t="inlineStr">
        <is>
          <t>QUESTION</t>
        </is>
      </c>
      <c r="I6" s="8" t="inlineStr">
        <is>
          <t>SURPRISE</t>
        </is>
      </c>
      <c r="J6" s="8" t="inlineStr">
        <is>
          <t>ENTITY</t>
        </is>
      </c>
      <c r="K6" s="8" t="inlineStr">
        <is>
          <t>The night ended here and never quite let go. Whatever it was on is still going.</t>
        </is>
      </c>
      <c r="L6" s="8" t="inlineStr">
        <is>
          <t>1</t>
        </is>
      </c>
      <c r="M6" s="8" t="inlineStr">
        <is>
          <t>Grants the Set of Rush: Drug Hit, and a passive that makes every critical worth three slots instead of one.</t>
        </is>
      </c>
    </row>
    <row r="7">
      <c r="A7" s="8" t="inlineStr">
        <is>
          <t>OBJ_URQUINAONA</t>
        </is>
      </c>
      <c r="B7" s="8" t="inlineStr">
        <is>
          <t>The Line Manager</t>
        </is>
      </c>
      <c r="C7" s="8" t="inlineStr">
        <is>
          <t>URQUINAONA</t>
        </is>
      </c>
      <c r="D7" s="8" t="inlineStr">
        <is>
          <t>DEFEAT_BOSS</t>
        </is>
      </c>
      <c r="E7" s="8" t="inlineStr">
        <is>
          <t>boss_line_manager</t>
        </is>
      </c>
      <c r="F7" s="8" t="inlineStr">
        <is>
          <t>KEY:L4</t>
        </is>
      </c>
      <c r="G7" s="8" t="inlineStr">
        <is>
          <t>1</t>
        </is>
      </c>
      <c r="H7" s="8" t="inlineStr">
        <is>
          <t>QUESTION</t>
        </is>
      </c>
      <c r="I7" s="8" t="inlineStr">
        <is>
          <t>JOY</t>
        </is>
      </c>
      <c r="J7" s="8" t="inlineStr">
        <is>
          <t>ENTITY</t>
        </is>
      </c>
      <c r="K7" s="8" t="inlineStr">
        <is>
          <t>Somebody up there decides whose day this is, and it has never once been yours.</t>
        </is>
      </c>
      <c r="L7" s="8" t="inlineStr">
        <is>
          <t>1</t>
        </is>
      </c>
      <c r="M7" s="8" t="inlineStr">
        <is>
          <t>THE GATE. Line 4 is unreachable until this row is cleared, so this is the one objective that opens the network rather than the kit. Her fight is lit three times as bright as any other and has its own music — both of those live on her units row, not here.</t>
        </is>
      </c>
    </row>
  </sheetData>
  <mergeCells count="1">
    <mergeCell ref="A1:M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6" customWidth="1" min="1" max="1"/>
    <col width="12" customWidth="1" min="2" max="2"/>
    <col width="12" customWidth="1" min="3" max="3"/>
    <col width="12" customWidth="1" min="4" max="4"/>
  </cols>
  <sheetData>
    <row r="1">
      <c r="A1" s="4" t="inlineStr">
        <is>
          <t>LIVE VALIDATION — every row should read OK. Anything else means a broken reference.</t>
        </is>
      </c>
    </row>
    <row r="3">
      <c r="A3" s="9" t="inlineStr">
        <is>
          <t>check</t>
        </is>
      </c>
      <c r="B3" s="9" t="inlineStr">
        <is>
          <t>expected</t>
        </is>
      </c>
      <c r="C3" s="9" t="inlineStr">
        <is>
          <t>actual</t>
        </is>
      </c>
      <c r="D3" s="9" t="inlineStr">
        <is>
          <t>status</t>
        </is>
      </c>
    </row>
    <row r="4">
      <c r="A4" s="8" t="inlineStr">
        <is>
          <t>Abilities with an emotion not in 'emotions'</t>
        </is>
      </c>
      <c r="B4" s="8" t="n">
        <v>0</v>
      </c>
      <c r="C4" s="8">
        <f>SUMPRODUCT((abilities!C5:C200&lt;&gt;"")*(COUNTIF(emotions!A5:A200,abilities!C5:C200)=0))</f>
        <v/>
      </c>
      <c r="D4" s="10">
        <f>IF(C4=B4,"OK","CHECK")</f>
        <v/>
      </c>
    </row>
    <row r="5">
      <c r="A5" s="8" t="inlineStr">
        <is>
          <t>Abilities missing an id</t>
        </is>
      </c>
      <c r="B5" s="8" t="n">
        <v>0</v>
      </c>
      <c r="C5" s="8">
        <f>SUMPRODUCT((abilities!B5:B200&lt;&gt;"")*(abilities!A5:A200=""))</f>
        <v/>
      </c>
      <c r="D5" s="10">
        <f>IF(C5=B5,"OK","CHECK")</f>
        <v/>
      </c>
    </row>
    <row r="6">
      <c r="A6" s="8" t="inlineStr">
        <is>
          <t>Units with a blank pool</t>
        </is>
      </c>
      <c r="B6" s="8" t="n">
        <v>0</v>
      </c>
      <c r="C6" s="8">
        <f>SUMPRODUCT((units!A5:A200&lt;&gt;"")*(units!H5:H200=""))</f>
        <v/>
      </c>
      <c r="D6" s="10">
        <f>IF(C6=B6,"OK","CHECK")</f>
        <v/>
      </c>
    </row>
    <row r="7">
      <c r="A7" s="8" t="inlineStr">
        <is>
          <t>Matchup rows with no label</t>
        </is>
      </c>
      <c r="B7" s="8" t="n">
        <v>0</v>
      </c>
      <c r="C7" s="8">
        <f>SUMPRODUCT((matchups!A5:A200&lt;&gt;"")*(matchups!F5:F200=""))</f>
        <v/>
      </c>
      <c r="D7" s="10">
        <f>IF(C7=B7,"OK","CHECK")</f>
        <v/>
      </c>
    </row>
    <row r="8">
      <c r="A8" s="8" t="inlineStr">
        <is>
          <t>Matchup attack emotions unknown (blank/*/NONE allowed)</t>
        </is>
      </c>
      <c r="B8" s="8" t="n">
        <v>0</v>
      </c>
      <c r="C8" s="8">
        <f>SUMPRODUCT((matchups!A5:A200&lt;&gt;"")*(matchups!A5:A200&lt;&gt;"*")*(matchups!A5:A200&lt;&gt;"NONE")*(COUNTIF(emotions!A5:A200,matchups!A5:A200)=0))</f>
        <v/>
      </c>
      <c r="D8" s="10">
        <f>IF(C8=B8,"OK","CHECK")</f>
        <v/>
      </c>
    </row>
    <row r="9">
      <c r="A9" s="8" t="inlineStr">
        <is>
          <t>Matchup layer emotions unknown (blank/*/NONE allowed)</t>
        </is>
      </c>
      <c r="B9" s="8" t="n">
        <v>0</v>
      </c>
      <c r="C9" s="8">
        <f>SUMPRODUCT((matchups!B5:B200&lt;&gt;"")*(matchups!B5:B200&lt;&gt;"*")*(matchups!B5:B200&lt;&gt;"NONE")*(COUNTIF(emotions!A5:A200,matchups!B5:B200)=0))</f>
        <v/>
      </c>
      <c r="D9" s="10">
        <f>IF(C9=B9,"OK","CHECK")</f>
        <v/>
      </c>
    </row>
    <row r="10">
      <c r="A10" s="8" t="inlineStr">
        <is>
          <t>Duplicate ability ids</t>
        </is>
      </c>
      <c r="B10" s="8" t="n">
        <v>0</v>
      </c>
      <c r="C10" s="8">
        <f>SUMPRODUCT((abilities!A5:A200&lt;&gt;"")*(COUNTIF(abilities!A5:A200,abilities!A5:A200&amp;"")&gt;1))</f>
        <v/>
      </c>
      <c r="D10" s="10">
        <f>IF(C10=B10,"OK","CHECK")</f>
        <v/>
      </c>
    </row>
    <row r="11">
      <c r="A11" s="8" t="inlineStr">
        <is>
          <t>Duplicate emotion ids</t>
        </is>
      </c>
      <c r="B11" s="8" t="n">
        <v>0</v>
      </c>
      <c r="C11" s="8">
        <f>SUMPRODUCT((emotions!A5:A200&lt;&gt;"")*(COUNTIF(emotions!A5:A200,emotions!A5:A200&amp;"")&gt;1))</f>
        <v/>
      </c>
      <c r="D11" s="10">
        <f>IF(C11=B11,"OK","CHECK")</f>
        <v/>
      </c>
    </row>
    <row r="12">
      <c r="A12" s="8" t="inlineStr">
        <is>
          <t>Unit emotions not in 'emotions' (player is blank)</t>
        </is>
      </c>
      <c r="B12" s="8" t="n">
        <v>0</v>
      </c>
      <c r="C12" s="8">
        <f>SUMPRODUCT((units!C5:C200&lt;&gt;"")*(COUNTIF(emotions!A5:A200,units!C5:C200)=0))</f>
        <v/>
      </c>
      <c r="D12" s="10">
        <f>IF(C12=B12,"OK","CHECK")</f>
        <v/>
      </c>
    </row>
    <row r="13">
      <c r="A13" s="8" t="inlineStr">
        <is>
          <t>Unit tiers that are not WEAK/REGULAR/STRONG (blank allowed)</t>
        </is>
      </c>
      <c r="B13" s="8" t="n">
        <v>0</v>
      </c>
      <c r="C13" s="8">
        <f>SUMPRODUCT((units!D5:D200&lt;&gt;"")*(units!D5:D200&lt;&gt;"WEAK")*(units!D5:D200&lt;&gt;"REGULAR")*(units!D5:D200&lt;&gt;"STRONG"))</f>
        <v/>
      </c>
      <c r="D13" s="10">
        <f>IF(C13=B13,"OK","CHECK")</f>
        <v/>
      </c>
    </row>
    <row r="14">
      <c r="A14" s="8" t="inlineStr">
        <is>
          <t>Statuses an ability applies that do not exist</t>
        </is>
      </c>
      <c r="B14" s="8" t="n">
        <v>0</v>
      </c>
      <c r="C14" s="8">
        <f>SUMPRODUCT((abilities!AA5:AA200&lt;&gt;"")*(COUNTIF(status_effects!A5:A200,abilities!AA5:AA200)=0))</f>
        <v/>
      </c>
      <c r="D14" s="10">
        <f>IF(C14=B14,"OK","CHECK")</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2026-08-31T16:13:13Z</dcterms:created>
  <dcterms:modified xmlns:dcterms="http://purl.org/dc/terms/" xmlns:xsi="http://www.w3.org/2001/XMLSchema-instance" xsi:type="dcterms:W3CDTF">2026-08-31T16:13:13Z</dcterms:modified>
</cp:coreProperties>
</file>